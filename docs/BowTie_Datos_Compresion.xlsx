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ame" sheetId="1" state="visible" r:id="rId3"/>
    <sheet name="Casos_De_Prueba" sheetId="2" state="visible" r:id="rId4"/>
    <sheet name="Eventos_Tope" sheetId="3" state="visible" r:id="rId5"/>
    <sheet name="Amenazas" sheetId="4" state="visible" r:id="rId6"/>
    <sheet name="Consecuencias" sheetId="5" state="visible" r:id="rId7"/>
    <sheet name="Barreras_Preventivas" sheetId="6" state="visible" r:id="rId8"/>
    <sheet name="Barreras_Mitigadoras" sheetId="7" state="visible" r:id="rId9"/>
    <sheet name="Factores_Escalamiento" sheetId="8" state="visible" r:id="rId10"/>
    <sheet name="Controles_Escalamiento" sheetId="9" state="visible" r:id="rId11"/>
    <sheet name="Resumen_Riesgo" sheetId="10" state="visible" r:id="rId12"/>
    <sheet name="Lista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Calculado automáticamente. No editar manualmente.
Rojo = barrera crítica degradada o fuera de servicio.
Naranja = barrera no crítica fuera de servicio.
Amarillo = degradada, o efectividad &lt; 70%.
Verde = operativa y efectiva.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Calculado automáticamente. No editar manualmente.
Rojo = barrera crítica degradada o fuera de servicio.
Naranja = barrera no crítica fuera de servicio.
Amarillo = degradada, o efectividad &lt; 70%.
Verde = operativa y efectiva.</t>
        </r>
      </text>
    </comment>
  </commentList>
</comments>
</file>

<file path=xl/sharedStrings.xml><?xml version="1.0" encoding="utf-8"?>
<sst xmlns="http://schemas.openxmlformats.org/spreadsheetml/2006/main" count="742" uniqueCount="399">
  <si>
    <t xml:space="preserve">Modelo de datos BowTie — Guía rápida</t>
  </si>
  <si>
    <t xml:space="preserve">Esta plantilla alimenta una herramienta de visualización de BowTie. Cada hoja es una tabla; las columnas 'ID_...' conectan las tablas entre sí (igual que una base de datos relacional).</t>
  </si>
  <si>
    <t xml:space="preserve">Hoja</t>
  </si>
  <si>
    <t xml:space="preserve">Qué contiene</t>
  </si>
  <si>
    <t xml:space="preserve">Se conecta con</t>
  </si>
  <si>
    <t xml:space="preserve">Eventos_Tope</t>
  </si>
  <si>
    <t xml:space="preserve">El evento central del BowTie (el 'nudo'). Incluye el campo Peligro: categoría general de riesgo mostrada arriba del evento (ej. 'Transporte de gas natural').</t>
  </si>
  <si>
    <t xml:space="preserve">—</t>
  </si>
  <si>
    <t xml:space="preserve">Amenazas</t>
  </si>
  <si>
    <t xml:space="preserve">Causas que pueden llevar al evento tope (lado izquierdo).</t>
  </si>
  <si>
    <t xml:space="preserve">ID_Evento → Eventos_Tope</t>
  </si>
  <si>
    <t xml:space="preserve">Consecuencias</t>
  </si>
  <si>
    <t xml:space="preserve">Impactos posibles si ocurre el evento tope (lado derecho).</t>
  </si>
  <si>
    <t xml:space="preserve">Barreras_Preventivas</t>
  </si>
  <si>
    <t xml:space="preserve">Barreras entre una Amenaza y el Evento Tope.</t>
  </si>
  <si>
    <t xml:space="preserve">ID_Amenaza → Amenazas</t>
  </si>
  <si>
    <t xml:space="preserve">Barreras_Mitigadoras</t>
  </si>
  <si>
    <t xml:space="preserve">Barreras entre el Evento Tope y una Consecuencia.</t>
  </si>
  <si>
    <t xml:space="preserve">ID_Consecuencia → Consecuencias</t>
  </si>
  <si>
    <t xml:space="preserve">Factores_Escalamiento</t>
  </si>
  <si>
    <t xml:space="preserve">Lo que puede hacer fallar a una barrera.</t>
  </si>
  <si>
    <t xml:space="preserve">ID_Barrera → cualquier barrera (Prev. o Mitig.)</t>
  </si>
  <si>
    <t xml:space="preserve">Controles_Escalamiento</t>
  </si>
  <si>
    <t xml:space="preserve">Barreras de esos factores de escalamiento.</t>
  </si>
  <si>
    <t xml:space="preserve">ID_Factor → Factores_Escalamiento</t>
  </si>
  <si>
    <t xml:space="preserve">Listas</t>
  </si>
  <si>
    <t xml:space="preserve">Catálogos para los menús desplegables.</t>
  </si>
  <si>
    <t xml:space="preserve">Usada por validaciones de datos en todas las hojas</t>
  </si>
  <si>
    <t xml:space="preserve">Resumen_Riesgo</t>
  </si>
  <si>
    <t xml:space="preserve">Indicadores y semáforos calculados automáticamente.</t>
  </si>
  <si>
    <t xml:space="preserve">Lee todas las hojas anteriores</t>
  </si>
  <si>
    <t xml:space="preserve">Cómo llenar:</t>
  </si>
  <si>
    <t xml:space="preserve">1) Crea primero tus Eventos_Tope.  2) Agrega Amenazas y Consecuencias apuntando al ID del evento.  3) Agrega Barreras apuntando al ID de la amenaza o consecuencia correspondiente.  4) No editar las fórmulas o encabezados.</t>
  </si>
  <si>
    <t xml:space="preserve">Casos de prueba incluidos en este Excel</t>
  </si>
  <si>
    <t xml:space="preserve">Esta hoja es solo de referencia (la herramienta no la lee). Lista los IDs de prueba agregados a propósito para ejercitar validaciones y casos límite del visualizador.</t>
  </si>
  <si>
    <t xml:space="preserve">#</t>
  </si>
  <si>
    <t xml:space="preserve">ID(s) de prueba</t>
  </si>
  <si>
    <t xml:space="preserve">Qué funcionalidad ejercita</t>
  </si>
  <si>
    <t xml:space="preserve">BP-002 (3 factores: FE-001, FE-011, FE-012)</t>
  </si>
  <si>
    <t xml:space="preserve">Una misma barrera con MÚLTIPLES factores de escalamiento — probar que el tooltip/panel de detalle los liste todos, no solo el primero.</t>
  </si>
  <si>
    <t xml:space="preserve">BM-001 (2 factores: FE-008, FE-013)</t>
  </si>
  <si>
    <t xml:space="preserve">Barrera MITIGADORA con más de un factor de escalamiento (no solo preventivas).</t>
  </si>
  <si>
    <t xml:space="preserve">FE-002 (2 controles: CE-002, CE-011)</t>
  </si>
  <si>
    <t xml:space="preserve">Un mismo factor de escalamiento con MÁS DE UN control — probar que el detalle los muestre todos.</t>
  </si>
  <si>
    <t xml:space="preserve">FE-014 (sin ningún control asociado)</t>
  </si>
  <si>
    <t xml:space="preserve">Factor de escalamiento SIN controles definidos — probar que la app lo muestre igual (como 'sin control mitigante'), sin romper.</t>
  </si>
  <si>
    <t xml:space="preserve">AM-012 (sin barreras)</t>
  </si>
  <si>
    <t xml:space="preserve">Amenaza SIN ninguna barrera preventiva — debe verse como línea directa/punteada al evento tope, contada en el KPI 'sin barrera'.</t>
  </si>
  <si>
    <t xml:space="preserve">CO-006 (sin barreras)</t>
  </si>
  <si>
    <t xml:space="preserve">Consecuencia SIN ninguna barrera mitigadora — mismo caso anterior, pero del lado derecho del BowTie.</t>
  </si>
  <si>
    <t xml:space="preserve">BP-900 -&gt; AM-999 (FK huérfana)</t>
  </si>
  <si>
    <t xml:space="preserve">ID_Amenaza que NO existe en la hoja Amenazas — debe omitirse con advertencia visible, sin bloquear el resto de la carga.</t>
  </si>
  <si>
    <t xml:space="preserve">BP-001 duplicado (2da fila con el mismo ID)</t>
  </si>
  <si>
    <t xml:space="preserve">ID_Barrera repetido — probar que el validador detecte el duplicado y lo reporte (no que sobrescriba en silencio).</t>
  </si>
  <si>
    <t xml:space="preserve">CO-007 (Severidad = 7)</t>
  </si>
  <si>
    <t xml:space="preserve">Valor fuera de rango (Severidad debe ser 1-5) — probar que el validador lo detecte y lo reporte.</t>
  </si>
  <si>
    <t xml:space="preserve">BP-901 (Nombre_Barrera vacío)</t>
  </si>
  <si>
    <t xml:space="preserve">Campo obligatorio vacío — probar que el validador lo detecte como incompleto.</t>
  </si>
  <si>
    <t xml:space="preserve">AM-013 (nombre de ~190 caracteres)</t>
  </si>
  <si>
    <t xml:space="preserve">Texto muy largo en el nombre — probar ajuste de fuente/wrap sin romper el layout.</t>
  </si>
  <si>
    <t xml:space="preserve">FE-015 (Hoja_Barrera = 'Hoja_Invalida_De_Prueba')</t>
  </si>
  <si>
    <t xml:space="preserve">Valor fuera del catálogo permitido en Hoja_Barrera — probar que el validador lo reporte y no rompa el resto.</t>
  </si>
  <si>
    <t xml:space="preserve">ID_Evento</t>
  </si>
  <si>
    <t xml:space="preserve">Nombre_Evento</t>
  </si>
  <si>
    <t xml:space="preserve">Peligro</t>
  </si>
  <si>
    <t xml:space="preserve">Descripcion</t>
  </si>
  <si>
    <t xml:space="preserve">Proceso_Area</t>
  </si>
  <si>
    <t xml:space="preserve">Responsable</t>
  </si>
  <si>
    <t xml:space="preserve">Fecha_Actualizacion</t>
  </si>
  <si>
    <t xml:space="preserve">ET-001</t>
  </si>
  <si>
    <t xml:space="preserve">Pérdida de contención de gas natural a alta presión</t>
  </si>
  <si>
    <t xml:space="preserve">Gas natural</t>
  </si>
  <si>
    <t xml:space="preserve">Fuga o liberación no controlada de gas natural a alta presión en el sistema de compresión</t>
  </si>
  <si>
    <t xml:space="preserve">Estación de Compresión de Gas Natural</t>
  </si>
  <si>
    <t xml:space="preserve">Jefe de Estación</t>
  </si>
  <si>
    <t xml:space="preserve">2026-09-20</t>
  </si>
  <si>
    <t xml:space="preserve">ID_Amenaza</t>
  </si>
  <si>
    <t xml:space="preserve">Nombre_Amenaza</t>
  </si>
  <si>
    <t xml:space="preserve">Categoria</t>
  </si>
  <si>
    <t xml:space="preserve">AM-001</t>
  </si>
  <si>
    <t xml:space="preserve">Falla mecánica del sello del compresor</t>
  </si>
  <si>
    <t xml:space="preserve">Mecánica</t>
  </si>
  <si>
    <t xml:space="preserve">Desgaste o falla del sello seco (dry gas seal) del compresor centrífugo</t>
  </si>
  <si>
    <t xml:space="preserve">AM-002</t>
  </si>
  <si>
    <t xml:space="preserve">Corrosión interna en tubería de succión/descarga</t>
  </si>
  <si>
    <t xml:space="preserve">Pérdida de espesor por corrosión interna en líneas de proceso de alta presión</t>
  </si>
  <si>
    <t xml:space="preserve">AM-003</t>
  </si>
  <si>
    <t xml:space="preserve">Sobrepresión por falla de válvula de control</t>
  </si>
  <si>
    <t xml:space="preserve">Proceso</t>
  </si>
  <si>
    <t xml:space="preserve">La válvula de control de presión no responde y permite sobrepresión aguas abajo</t>
  </si>
  <si>
    <t xml:space="preserve">AM-004</t>
  </si>
  <si>
    <t xml:space="preserve">Fatiga de material en bridas y conexiones</t>
  </si>
  <si>
    <t xml:space="preserve">Ciclos de vibración y presión generan fatiga en juntas bridadas</t>
  </si>
  <si>
    <t xml:space="preserve">AM-005</t>
  </si>
  <si>
    <t xml:space="preserve">Falla de junta o empaque en válvula de bloqueo</t>
  </si>
  <si>
    <t xml:space="preserve">Deterioro del empaque permite fuga en el vástago de la válvula</t>
  </si>
  <si>
    <t xml:space="preserve">AM-006</t>
  </si>
  <si>
    <t xml:space="preserve">Impacto mecánico externo por excavación de terceros</t>
  </si>
  <si>
    <t xml:space="preserve">Externa</t>
  </si>
  <si>
    <t xml:space="preserve">Daño a tubería enterrada por trabajos de excavación no autorizados o mal coordinados</t>
  </si>
  <si>
    <t xml:space="preserve">AM-007</t>
  </si>
  <si>
    <t xml:space="preserve">Falla de instrumentación de presión</t>
  </si>
  <si>
    <t xml:space="preserve">El transmisor de presión entrega una lectura errónea o deja de responder</t>
  </si>
  <si>
    <t xml:space="preserve">AM-008</t>
  </si>
  <si>
    <t xml:space="preserve">Error humano en maniobra de arranque o parada del compresor</t>
  </si>
  <si>
    <t xml:space="preserve">Humana</t>
  </si>
  <si>
    <t xml:space="preserve">El operador ejecuta una secuencia incorrecta durante el arranque o parada</t>
  </si>
  <si>
    <t xml:space="preserve">AM-009</t>
  </si>
  <si>
    <t xml:space="preserve">Vibración excesiva por desalineación del tren de compresión</t>
  </si>
  <si>
    <t xml:space="preserve">Desalineación mecánica genera vibración por encima de los límites de diseño</t>
  </si>
  <si>
    <t xml:space="preserve">AM-010</t>
  </si>
  <si>
    <t xml:space="preserve">Falla del sistema de enfriamiento del gas</t>
  </si>
  <si>
    <t xml:space="preserve">Los aeroenfriadores no logran bajar la temperatura del gas a la salida del compresor</t>
  </si>
  <si>
    <t xml:space="preserve">AM-011</t>
  </si>
  <si>
    <t xml:space="preserve">Corrosión bajo aislamiento (CUI) en tubería aislada</t>
  </si>
  <si>
    <t xml:space="preserve">Humedad atrapada bajo el aislamiento térmico acelera la corrosión externa de la tubería</t>
  </si>
  <si>
    <t xml:space="preserve">AM-012</t>
  </si>
  <si>
    <t xml:space="preserve">Falla de comunicación con el sistema SCADA de la estación</t>
  </si>
  <si>
    <t xml:space="preserve">Pérdida de visibilidad remota de variables críticas de proceso</t>
  </si>
  <si>
    <t xml:space="preserve">AM-013</t>
  </si>
  <si>
    <t xml:space="preserve">Amenaza de prueba con un nombre deliberadamente muy largo para verificar que el diagrama ajuste el texto o lo trunque correctamente sin romper el layout ni desbordar la caja del nodo en el visualizador BowTie</t>
  </si>
  <si>
    <t xml:space="preserve">Nombre extenso para prueba de wrap de texto en el diagrama</t>
  </si>
  <si>
    <t xml:space="preserve">ID_Consecuencia</t>
  </si>
  <si>
    <t xml:space="preserve">Nombre_Consecuencia</t>
  </si>
  <si>
    <t xml:space="preserve">Severidad_1a5</t>
  </si>
  <si>
    <t xml:space="preserve">Categoria_Impacto</t>
  </si>
  <si>
    <t xml:space="preserve">CO-001</t>
  </si>
  <si>
    <t xml:space="preserve">Incendio tipo jet fire</t>
  </si>
  <si>
    <t xml:space="preserve">Personas</t>
  </si>
  <si>
    <t xml:space="preserve">Ignición de gas a alta presión liberado por una fuga puntual</t>
  </si>
  <si>
    <t xml:space="preserve">CO-002</t>
  </si>
  <si>
    <t xml:space="preserve">Explosión de nube de vapor no confinada (UVCE)</t>
  </si>
  <si>
    <t xml:space="preserve">Acumulación y posterior ignición de una nube de gas en área abierta</t>
  </si>
  <si>
    <t xml:space="preserve">CO-003</t>
  </si>
  <si>
    <t xml:space="preserve">Dispersión de nube de gas inflamable</t>
  </si>
  <si>
    <t xml:space="preserve">Nube de gas natural se dispersa hacia áreas ocupadas o límites de la estación</t>
  </si>
  <si>
    <t xml:space="preserve">CO-004</t>
  </si>
  <si>
    <t xml:space="preserve">Asfixia por desplazamiento de oxígeno en espacio confinado</t>
  </si>
  <si>
    <t xml:space="preserve">Acumulación de gas desplaza el oxígeno disponible en un espacio confinado</t>
  </si>
  <si>
    <t xml:space="preserve">CO-005</t>
  </si>
  <si>
    <t xml:space="preserve">Daño a equipos críticos y parada no programada de la estación</t>
  </si>
  <si>
    <t xml:space="preserve">Activos</t>
  </si>
  <si>
    <t xml:space="preserve">El evento obliga a detener la compresión, afectando el suministro</t>
  </si>
  <si>
    <t xml:space="preserve">CO-006</t>
  </si>
  <si>
    <t xml:space="preserve">Contaminación ambiental por venteo no controlado de gas</t>
  </si>
  <si>
    <t xml:space="preserve">Ambiente</t>
  </si>
  <si>
    <t xml:space="preserve">Liberación de gas natural a la atmósfera sin pasar por antorcha o sistema de recuperación</t>
  </si>
  <si>
    <t xml:space="preserve">CO-007</t>
  </si>
  <si>
    <t xml:space="preserve">Consecuencia de prueba con severidad inválida</t>
  </si>
  <si>
    <t xml:space="preserve">Severidad fuera del rango permitido (1 a 5), para probar la validación de rango</t>
  </si>
  <si>
    <t xml:space="preserve">ID_Barrera</t>
  </si>
  <si>
    <t xml:space="preserve">Nombre_Barrera</t>
  </si>
  <si>
    <t xml:space="preserve">Tipo</t>
  </si>
  <si>
    <t xml:space="preserve">Criticidad</t>
  </si>
  <si>
    <t xml:space="preserve">Estado</t>
  </si>
  <si>
    <t xml:space="preserve">Ultima_Verificacion</t>
  </si>
  <si>
    <t xml:space="preserve">Semaforo</t>
  </si>
  <si>
    <t xml:space="preserve">BP-001</t>
  </si>
  <si>
    <t xml:space="preserve">Sistema de sello seco (dry gas seal)</t>
  </si>
  <si>
    <t xml:space="preserve">Activa</t>
  </si>
  <si>
    <t xml:space="preserve">Crítica</t>
  </si>
  <si>
    <t xml:space="preserve">Operativa</t>
  </si>
  <si>
    <t xml:space="preserve">2026-08-20</t>
  </si>
  <si>
    <t xml:space="preserve">Ingeniero de Confiabilidad</t>
  </si>
  <si>
    <t xml:space="preserve">BP-002</t>
  </si>
  <si>
    <t xml:space="preserve">Monitoreo continuo de vibración y temperatura del sello</t>
  </si>
  <si>
    <t xml:space="preserve">Degradada</t>
  </si>
  <si>
    <t xml:space="preserve">2026-07-05</t>
  </si>
  <si>
    <t xml:space="preserve">BP-003</t>
  </si>
  <si>
    <t xml:space="preserve">Plan de mantenimiento predictivo del compresor</t>
  </si>
  <si>
    <t xml:space="preserve">No crítica</t>
  </si>
  <si>
    <t xml:space="preserve">2026-08-01</t>
  </si>
  <si>
    <t xml:space="preserve">Mantenimiento</t>
  </si>
  <si>
    <t xml:space="preserve">BP-004</t>
  </si>
  <si>
    <t xml:space="preserve">Inspección por ultrasonido periódica</t>
  </si>
  <si>
    <t xml:space="preserve">2026-08-10</t>
  </si>
  <si>
    <t xml:space="preserve">BP-005</t>
  </si>
  <si>
    <t xml:space="preserve">Programa de gestión de integridad de ductos</t>
  </si>
  <si>
    <t xml:space="preserve">2026-06-15</t>
  </si>
  <si>
    <t xml:space="preserve">Ingeniería de Integridad</t>
  </si>
  <si>
    <t xml:space="preserve">BP-006</t>
  </si>
  <si>
    <t xml:space="preserve">Inyección de inhibidor de corrosión</t>
  </si>
  <si>
    <t xml:space="preserve">2026-08-05</t>
  </si>
  <si>
    <t xml:space="preserve">Operaciones</t>
  </si>
  <si>
    <t xml:space="preserve">BP-007</t>
  </si>
  <si>
    <t xml:space="preserve">Válvula de alivio de presión (PSV)</t>
  </si>
  <si>
    <t xml:space="preserve">Pasiva</t>
  </si>
  <si>
    <t xml:space="preserve">2026-07-30</t>
  </si>
  <si>
    <t xml:space="preserve">BP-008</t>
  </si>
  <si>
    <t xml:space="preserve">Sistema de paro de emergencia (ESD) por alta presión</t>
  </si>
  <si>
    <t xml:space="preserve">2026-08-12</t>
  </si>
  <si>
    <t xml:space="preserve">Ingeniería de Control</t>
  </si>
  <si>
    <t xml:space="preserve">BP-009</t>
  </si>
  <si>
    <t xml:space="preserve">Prueba funcional periódica de la PSV</t>
  </si>
  <si>
    <t xml:space="preserve">Fuera de servicio</t>
  </si>
  <si>
    <t xml:space="preserve">2026-03-01</t>
  </si>
  <si>
    <t xml:space="preserve">BP-010</t>
  </si>
  <si>
    <t xml:space="preserve">Inspección de integridad mecánica basada en riesgo (RBI)</t>
  </si>
  <si>
    <t xml:space="preserve">2026-07-20</t>
  </si>
  <si>
    <t xml:space="preserve">BP-011</t>
  </si>
  <si>
    <t xml:space="preserve">Control de torque en apriete de bridas</t>
  </si>
  <si>
    <t xml:space="preserve">BP-012</t>
  </si>
  <si>
    <t xml:space="preserve">Programa de cambio periódico de empaques</t>
  </si>
  <si>
    <t xml:space="preserve">2026-06-10</t>
  </si>
  <si>
    <t xml:space="preserve">BP-013</t>
  </si>
  <si>
    <t xml:space="preserve">Detección fija de gas fugitivo</t>
  </si>
  <si>
    <t xml:space="preserve">2026-08-14</t>
  </si>
  <si>
    <t xml:space="preserve">BP-014</t>
  </si>
  <si>
    <t xml:space="preserve">Señalización y demarcación de servidumbre</t>
  </si>
  <si>
    <t xml:space="preserve">2026-05-01</t>
  </si>
  <si>
    <t xml:space="preserve">HSE</t>
  </si>
  <si>
    <t xml:space="preserve">BP-015</t>
  </si>
  <si>
    <t xml:space="preserve">Programa de gestión de terceros y permisos de excavación</t>
  </si>
  <si>
    <t xml:space="preserve">2026-06-25</t>
  </si>
  <si>
    <t xml:space="preserve">BP-016</t>
  </si>
  <si>
    <t xml:space="preserve">Protección física de tubería enterrada (losa de concreto)</t>
  </si>
  <si>
    <t xml:space="preserve">2026-01-15</t>
  </si>
  <si>
    <t xml:space="preserve">Ingeniería</t>
  </si>
  <si>
    <t xml:space="preserve">BP-017</t>
  </si>
  <si>
    <t xml:space="preserve">Redundancia de transmisores de presión (2oo3)</t>
  </si>
  <si>
    <t xml:space="preserve">2026-08-08</t>
  </si>
  <si>
    <t xml:space="preserve">BP-018</t>
  </si>
  <si>
    <t xml:space="preserve">Calibración periódica de instrumentos</t>
  </si>
  <si>
    <t xml:space="preserve">2026-06-20</t>
  </si>
  <si>
    <t xml:space="preserve">Instrumentación</t>
  </si>
  <si>
    <t xml:space="preserve">BP-019</t>
  </si>
  <si>
    <t xml:space="preserve">Procedimiento operativo estandarizado (SOP) de arranque/parada</t>
  </si>
  <si>
    <t xml:space="preserve">BP-020</t>
  </si>
  <si>
    <t xml:space="preserve">Enclavamientos de secuencia de arranque (interlocks)</t>
  </si>
  <si>
    <t xml:space="preserve">2026-08-15</t>
  </si>
  <si>
    <t xml:space="preserve">BP-021</t>
  </si>
  <si>
    <t xml:space="preserve">Competencia y certificación de operadores</t>
  </si>
  <si>
    <t xml:space="preserve">2026-02-10</t>
  </si>
  <si>
    <t xml:space="preserve">Recursos Humanos</t>
  </si>
  <si>
    <t xml:space="preserve">BP-022</t>
  </si>
  <si>
    <t xml:space="preserve">Monitoreo continuo de vibración del tren de compresión</t>
  </si>
  <si>
    <t xml:space="preserve">BP-023</t>
  </si>
  <si>
    <t xml:space="preserve">Plan de alineación y balanceo periódico</t>
  </si>
  <si>
    <t xml:space="preserve">2026-05-30</t>
  </si>
  <si>
    <t xml:space="preserve">BP-024</t>
  </si>
  <si>
    <t xml:space="preserve">Redundancia de aeroenfriadores</t>
  </si>
  <si>
    <t xml:space="preserve">2026-04-01</t>
  </si>
  <si>
    <t xml:space="preserve">BP-025</t>
  </si>
  <si>
    <t xml:space="preserve">Alarma de alta temperatura de descarga</t>
  </si>
  <si>
    <t xml:space="preserve">BP-026</t>
  </si>
  <si>
    <t xml:space="preserve">Programa de inspección de CUI en puntos críticos</t>
  </si>
  <si>
    <t xml:space="preserve">2026-05-15</t>
  </si>
  <si>
    <t xml:space="preserve">BP-027</t>
  </si>
  <si>
    <t xml:space="preserve">Recubrimiento anticorrosivo certificado</t>
  </si>
  <si>
    <t xml:space="preserve">2026-03-20</t>
  </si>
  <si>
    <t xml:space="preserve">BP-900</t>
  </si>
  <si>
    <t xml:space="preserve">AM-999</t>
  </si>
  <si>
    <t xml:space="preserve">Barrera de prueba con amenaza inexistente</t>
  </si>
  <si>
    <t xml:space="preserve">2026-09-01</t>
  </si>
  <si>
    <t xml:space="preserve">Prueba QA</t>
  </si>
  <si>
    <t xml:space="preserve">Barrera duplicada de prueba (mismo ID que BP-001 original)</t>
  </si>
  <si>
    <t xml:space="preserve">BP-901</t>
  </si>
  <si>
    <t xml:space="preserve">BM-001</t>
  </si>
  <si>
    <t xml:space="preserve">Sistema de detección de fuego y gas (F&amp;G)</t>
  </si>
  <si>
    <t xml:space="preserve">2026-06-18</t>
  </si>
  <si>
    <t xml:space="preserve">BM-002</t>
  </si>
  <si>
    <t xml:space="preserve">Sistema de diluvio / aspersión de agua</t>
  </si>
  <si>
    <t xml:space="preserve">BM-003</t>
  </si>
  <si>
    <t xml:space="preserve">Parada de emergencia (ESD) activada por F&amp;G</t>
  </si>
  <si>
    <t xml:space="preserve">BM-004</t>
  </si>
  <si>
    <t xml:space="preserve">Plan de respuesta a emergencias y brigada contraincendios</t>
  </si>
  <si>
    <t xml:space="preserve">2026-05-20</t>
  </si>
  <si>
    <t xml:space="preserve">BM-005</t>
  </si>
  <si>
    <t xml:space="preserve">Diseño de área clasificada (equipos a prueba de explosión)</t>
  </si>
  <si>
    <t xml:space="preserve">2026-02-01</t>
  </si>
  <si>
    <t xml:space="preserve">Ingeniería Eléctrica</t>
  </si>
  <si>
    <t xml:space="preserve">BM-006</t>
  </si>
  <si>
    <t xml:space="preserve">Sistema de detección de gas con alarma temprana</t>
  </si>
  <si>
    <t xml:space="preserve">2026-01-20</t>
  </si>
  <si>
    <t xml:space="preserve">BM-007</t>
  </si>
  <si>
    <t xml:space="preserve">Distancias de seguridad (layout) según código aplicable</t>
  </si>
  <si>
    <t xml:space="preserve">2025-11-01</t>
  </si>
  <si>
    <t xml:space="preserve">BM-008</t>
  </si>
  <si>
    <t xml:space="preserve">Plan de respuesta a emergencias</t>
  </si>
  <si>
    <t xml:space="preserve">BM-009</t>
  </si>
  <si>
    <t xml:space="preserve">Sistema de detección de gas perimetral</t>
  </si>
  <si>
    <t xml:space="preserve">2026-06-05</t>
  </si>
  <si>
    <t xml:space="preserve">BM-010</t>
  </si>
  <si>
    <t xml:space="preserve">Ventilación natural/forzada del área</t>
  </si>
  <si>
    <t xml:space="preserve">2026-04-10</t>
  </si>
  <si>
    <t xml:space="preserve">BM-011</t>
  </si>
  <si>
    <t xml:space="preserve">Plan de evacuación</t>
  </si>
  <si>
    <t xml:space="preserve">2026-07-01</t>
  </si>
  <si>
    <t xml:space="preserve">BM-012</t>
  </si>
  <si>
    <t xml:space="preserve">Monitoreo de oxígeno en espacios confinados</t>
  </si>
  <si>
    <t xml:space="preserve">BM-013</t>
  </si>
  <si>
    <t xml:space="preserve">Procedimiento de entrada a espacios confinados</t>
  </si>
  <si>
    <t xml:space="preserve">2026-06-12</t>
  </si>
  <si>
    <t xml:space="preserve">BM-014</t>
  </si>
  <si>
    <t xml:space="preserve">Sistema de paro de emergencia (ESD)</t>
  </si>
  <si>
    <t xml:space="preserve">BM-015</t>
  </si>
  <si>
    <t xml:space="preserve">Plan de mantenimiento correctivo prioritario</t>
  </si>
  <si>
    <t xml:space="preserve">2026-07-15</t>
  </si>
  <si>
    <t xml:space="preserve">BM-016</t>
  </si>
  <si>
    <t xml:space="preserve">Disponibilidad de repuestos críticos en stock</t>
  </si>
  <si>
    <t xml:space="preserve">Cadena de Suministro</t>
  </si>
  <si>
    <t xml:space="preserve">ID_Factor</t>
  </si>
  <si>
    <t xml:space="preserve">Hoja_Barrera</t>
  </si>
  <si>
    <t xml:space="preserve">Nombre_Factor</t>
  </si>
  <si>
    <t xml:space="preserve">FE-001</t>
  </si>
  <si>
    <t xml:space="preserve">Sensores de vibración con derivas de calibración</t>
  </si>
  <si>
    <t xml:space="preserve">Los sensores de monitoreo de vibración muestran desviaciones respecto al patrón de calibración</t>
  </si>
  <si>
    <t xml:space="preserve">FE-002</t>
  </si>
  <si>
    <t xml:space="preserve">Retraso en la actualización del plan de integridad de ductos</t>
  </si>
  <si>
    <t xml:space="preserve">El plan de gestión de integridad no se ha actualizado con los últimos resultados de inspección</t>
  </si>
  <si>
    <t xml:space="preserve">FE-003</t>
  </si>
  <si>
    <t xml:space="preserve">Prueba funcional de PSV vencida por acceso restringido al equipo</t>
  </si>
  <si>
    <t xml:space="preserve">La válvula no ha podido probarse por estar en línea sin ventana de parada disponible</t>
  </si>
  <si>
    <t xml:space="preserve">FE-004</t>
  </si>
  <si>
    <t xml:space="preserve">Desabastecimiento de empaques certificados</t>
  </si>
  <si>
    <t xml:space="preserve">El proveedor de empaques certificados presenta demoras en la entrega</t>
  </si>
  <si>
    <t xml:space="preserve">FE-005</t>
  </si>
  <si>
    <t xml:space="preserve">Terceros no reportan trabajos de excavación cercanos</t>
  </si>
  <si>
    <t xml:space="preserve">Contratistas externos realizan excavaciones sin coordinar con la estación</t>
  </si>
  <si>
    <t xml:space="preserve">FE-006</t>
  </si>
  <si>
    <t xml:space="preserve">Alta carga de trabajo del equipo de instrumentación</t>
  </si>
  <si>
    <t xml:space="preserve">El equipo de instrumentación tiene un backlog de calibraciones pendientes</t>
  </si>
  <si>
    <t xml:space="preserve">FE-007</t>
  </si>
  <si>
    <t xml:space="preserve">Rotación alta de operadores certificados</t>
  </si>
  <si>
    <t xml:space="preserve">Varios operadores certificados han sido reasignados a otras estaciones</t>
  </si>
  <si>
    <t xml:space="preserve">FE-008</t>
  </si>
  <si>
    <t xml:space="preserve">Falta de mantenimiento de detectores de fuego y gas</t>
  </si>
  <si>
    <t xml:space="preserve">Los detectores de F&amp;G no han recibido mantenimiento preventivo en el último trimestre</t>
  </si>
  <si>
    <t xml:space="preserve">FE-009</t>
  </si>
  <si>
    <t xml:space="preserve">Sensores de detección de gas fuera de servicio por daño físico</t>
  </si>
  <si>
    <t xml:space="preserve">Varios sensores del perímetro fueron dañados y no han sido reemplazados</t>
  </si>
  <si>
    <t xml:space="preserve">FE-010</t>
  </si>
  <si>
    <t xml:space="preserve">Reducción del inventario de repuestos críticos por recorte presupuestal</t>
  </si>
  <si>
    <t xml:space="preserve">El stock mínimo de repuestos críticos fue reducido en la última revisión presupuestal</t>
  </si>
  <si>
    <t xml:space="preserve">FE-011</t>
  </si>
  <si>
    <t xml:space="preserve">Condiciones ambientales extremas de temperatura</t>
  </si>
  <si>
    <t xml:space="preserve">Temperaturas ambiente por encima de 40°C afectan la lectura de los sensores de vibración</t>
  </si>
  <si>
    <t xml:space="preserve">FE-012</t>
  </si>
  <si>
    <t xml:space="preserve">Interferencia electromagnética de equipos cercanos</t>
  </si>
  <si>
    <t xml:space="preserve">Variadores de frecuencia cercanos generan ruido eléctrico en la señal del sensor</t>
  </si>
  <si>
    <t xml:space="preserve">FE-013</t>
  </si>
  <si>
    <t xml:space="preserve">Falsos positivos frecuentes generan desactivación manual</t>
  </si>
  <si>
    <t xml:space="preserve">El personal desactiva temporalmente el sistema F&amp;G por exceso de falsas alarmas</t>
  </si>
  <si>
    <t xml:space="preserve">FE-014</t>
  </si>
  <si>
    <t xml:space="preserve">Acceso restringido al punto de inspección por diseño de planta</t>
  </si>
  <si>
    <t xml:space="preserve">El punto de medición ultrasónica es de difícil acceso, lo que retrasa las rondas de inspección</t>
  </si>
  <si>
    <t xml:space="preserve">FE-015</t>
  </si>
  <si>
    <t xml:space="preserve">Hoja_Invalida_De_Prueba</t>
  </si>
  <si>
    <t xml:space="preserve">Factor con hoja de barrera mal escrita</t>
  </si>
  <si>
    <t xml:space="preserve">Prueba de valor fuera de catálogo en Hoja_Barrera (debería ser Barreras_Preventivas o Barreras_Mitigadoras)</t>
  </si>
  <si>
    <t xml:space="preserve">ID_Control</t>
  </si>
  <si>
    <t xml:space="preserve">Nombre_Control</t>
  </si>
  <si>
    <t xml:space="preserve">Efectividad_Pct</t>
  </si>
  <si>
    <t xml:space="preserve">CE-001</t>
  </si>
  <si>
    <t xml:space="preserve">Plan de recalibración inmediata de sensores de vibración</t>
  </si>
  <si>
    <t xml:space="preserve">CE-002</t>
  </si>
  <si>
    <t xml:space="preserve">Actualización trimestral obligatoria del plan de integridad</t>
  </si>
  <si>
    <t xml:space="preserve">CE-003</t>
  </si>
  <si>
    <t xml:space="preserve">Programación de ventana de parada para prueba de PSV</t>
  </si>
  <si>
    <t xml:space="preserve">CE-004</t>
  </si>
  <si>
    <t xml:space="preserve">Acuerdo de suministro prioritario con proveedor alterno</t>
  </si>
  <si>
    <t xml:space="preserve">CE-005</t>
  </si>
  <si>
    <t xml:space="preserve">Reforzamiento de campaña de comunicación con terceros y autoridades locales</t>
  </si>
  <si>
    <t xml:space="preserve">CE-006</t>
  </si>
  <si>
    <t xml:space="preserve">Contratación temporal de apoyo para calibraciones</t>
  </si>
  <si>
    <t xml:space="preserve">CE-007</t>
  </si>
  <si>
    <t xml:space="preserve">Plan de retención y formación acelerada de nuevos operadores</t>
  </si>
  <si>
    <t xml:space="preserve">CE-008</t>
  </si>
  <si>
    <t xml:space="preserve">Programa de mantenimiento correctivo urgente de detectores F&amp;G</t>
  </si>
  <si>
    <t xml:space="preserve">CE-009</t>
  </si>
  <si>
    <t xml:space="preserve">Reemplazo prioritario de sensores dañados del perímetro</t>
  </si>
  <si>
    <t xml:space="preserve">CE-010</t>
  </si>
  <si>
    <t xml:space="preserve">Revisión y restitución del stock mínimo de repuestos críticos</t>
  </si>
  <si>
    <t xml:space="preserve">CE-011</t>
  </si>
  <si>
    <t xml:space="preserve">Auditoría trimestral cruzada con datos de inspección de campo</t>
  </si>
  <si>
    <t xml:space="preserve">Resumen de Riesgo y Barreras</t>
  </si>
  <si>
    <t xml:space="preserve">Total Eventos Tope</t>
  </si>
  <si>
    <t xml:space="preserve">Total Amenazas</t>
  </si>
  <si>
    <t xml:space="preserve">Total Consecuencias</t>
  </si>
  <si>
    <t xml:space="preserve">Total Barreras Preventivas</t>
  </si>
  <si>
    <t xml:space="preserve">Total Barreras Mitigadoras</t>
  </si>
  <si>
    <t xml:space="preserve">Barreras Preventivas críticas degradadas o fuera de servicio</t>
  </si>
  <si>
    <t xml:space="preserve">Barreras Mitigadoras críticas degradadas o fuera de servicio</t>
  </si>
  <si>
    <t xml:space="preserve">Barreras Preventivas en ROJO (semáforo)</t>
  </si>
  <si>
    <t xml:space="preserve">Barreras Mitigadoras en ROJO (semáforo)</t>
  </si>
  <si>
    <t xml:space="preserve">Categoria_Amenaza</t>
  </si>
  <si>
    <t xml:space="preserve">Severidad</t>
  </si>
  <si>
    <t xml:space="preserve">Tipo_Barrera</t>
  </si>
  <si>
    <t xml:space="preserve">Criticidad_Barrera</t>
  </si>
  <si>
    <t xml:space="preserve">Estado_Barrera</t>
  </si>
  <si>
    <t xml:space="preserve">1</t>
  </si>
  <si>
    <t xml:space="preserve">2</t>
  </si>
  <si>
    <t xml:space="preserve">3</t>
  </si>
  <si>
    <t xml:space="preserve">Reputación</t>
  </si>
  <si>
    <t xml:space="preserve">4</t>
  </si>
  <si>
    <t xml:space="preserve">Diseño</t>
  </si>
  <si>
    <t xml:space="preserve">Legal/Regulatorio</t>
  </si>
  <si>
    <t xml:space="preserve">5</t>
  </si>
  <si>
    <t xml:space="preserve">Organizacional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</si>
</sst>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tillium Web"/>
      <family val="0"/>
      <charset val="1"/>
    </font>
    <font>
      <b val="true"/>
      <sz val="14"/>
      <color rgb="FF1F3864"/>
      <name val="Titillium Web"/>
      <family val="0"/>
      <charset val="1"/>
    </font>
    <font>
      <sz val="10"/>
      <name val="Titillium Web"/>
      <family val="0"/>
      <charset val="1"/>
    </font>
    <font>
      <b val="true"/>
      <sz val="10"/>
      <color rgb="FFFFFFFF"/>
      <name val="Titillium Web"/>
      <family val="0"/>
      <charset val="1"/>
    </font>
    <font>
      <b val="true"/>
      <sz val="10"/>
      <name val="Titillium Web"/>
      <family val="0"/>
      <charset val="1"/>
    </font>
    <font>
      <i val="true"/>
      <sz val="9"/>
      <name val="Titillium Web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  <font>
      <i val="true"/>
      <sz val="9"/>
      <color rgb="FF808080"/>
      <name val="Arial"/>
      <family val="2"/>
      <charset val="1"/>
    </font>
    <font>
      <i val="true"/>
      <sz val="10"/>
      <color rgb="FF595959"/>
      <name val="Arial"/>
      <family val="2"/>
      <charset val="1"/>
    </font>
    <font>
      <sz val="10"/>
      <name val="Arial"/>
      <family val="2"/>
    </font>
    <font>
      <b val="true"/>
      <sz val="14"/>
      <color rgb="FF1F3864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B4" activeCellId="0" sqref="B4"/>
    </sheetView>
  </sheetViews>
  <sheetFormatPr defaultColWidth="8.71484375" defaultRowHeight="19.5" zeroHeight="false" outlineLevelRow="0" outlineLevelCol="0"/>
  <cols>
    <col collapsed="false" customWidth="false" hidden="false" outlineLevel="0" max="1" min="1" style="1" width="8.71"/>
    <col collapsed="false" customWidth="true" hidden="false" outlineLevel="0" max="2" min="2" style="1" width="24"/>
    <col collapsed="false" customWidth="true" hidden="false" outlineLevel="0" max="3" min="3" style="1" width="55"/>
    <col collapsed="false" customWidth="true" hidden="false" outlineLevel="0" max="4" min="4" style="1" width="40"/>
    <col collapsed="false" customWidth="false" hidden="false" outlineLevel="0" max="16384" min="5" style="1" width="8.71"/>
  </cols>
  <sheetData>
    <row r="2" customFormat="false" ht="24.75" hidden="false" customHeight="true" outlineLevel="0" collapsed="false">
      <c r="B2" s="2" t="s">
        <v>0</v>
      </c>
    </row>
    <row r="4" customFormat="false" ht="39.75" hidden="false" customHeight="true" outlineLevel="0" collapsed="false">
      <c r="B4" s="3" t="s">
        <v>1</v>
      </c>
      <c r="C4" s="3"/>
      <c r="D4" s="3"/>
      <c r="E4" s="3"/>
      <c r="F4" s="3"/>
      <c r="G4" s="3"/>
      <c r="H4" s="3"/>
    </row>
    <row r="6" customFormat="false" ht="15" hidden="false" customHeight="true" outlineLevel="0" collapsed="false">
      <c r="B6" s="4" t="s">
        <v>2</v>
      </c>
      <c r="C6" s="4" t="s">
        <v>3</v>
      </c>
      <c r="D6" s="4" t="s">
        <v>4</v>
      </c>
    </row>
    <row r="7" customFormat="false" ht="15" hidden="false" customHeight="true" outlineLevel="0" collapsed="false">
      <c r="B7" s="5" t="s">
        <v>5</v>
      </c>
      <c r="C7" s="5" t="s">
        <v>6</v>
      </c>
      <c r="D7" s="5" t="s">
        <v>7</v>
      </c>
    </row>
    <row r="8" customFormat="false" ht="15" hidden="false" customHeight="true" outlineLevel="0" collapsed="false">
      <c r="B8" s="5" t="s">
        <v>8</v>
      </c>
      <c r="C8" s="5" t="s">
        <v>9</v>
      </c>
      <c r="D8" s="5" t="s">
        <v>10</v>
      </c>
    </row>
    <row r="9" customFormat="false" ht="15" hidden="false" customHeight="true" outlineLevel="0" collapsed="false">
      <c r="B9" s="5" t="s">
        <v>11</v>
      </c>
      <c r="C9" s="5" t="s">
        <v>12</v>
      </c>
      <c r="D9" s="5" t="s">
        <v>10</v>
      </c>
    </row>
    <row r="10" customFormat="false" ht="15" hidden="false" customHeight="true" outlineLevel="0" collapsed="false">
      <c r="B10" s="5" t="s">
        <v>13</v>
      </c>
      <c r="C10" s="5" t="s">
        <v>14</v>
      </c>
      <c r="D10" s="5" t="s">
        <v>15</v>
      </c>
    </row>
    <row r="11" customFormat="false" ht="15" hidden="false" customHeight="true" outlineLevel="0" collapsed="false">
      <c r="B11" s="5" t="s">
        <v>16</v>
      </c>
      <c r="C11" s="5" t="s">
        <v>17</v>
      </c>
      <c r="D11" s="5" t="s">
        <v>18</v>
      </c>
    </row>
    <row r="12" customFormat="false" ht="15" hidden="false" customHeight="true" outlineLevel="0" collapsed="false">
      <c r="B12" s="5" t="s">
        <v>19</v>
      </c>
      <c r="C12" s="5" t="s">
        <v>20</v>
      </c>
      <c r="D12" s="5" t="s">
        <v>21</v>
      </c>
    </row>
    <row r="13" customFormat="false" ht="15" hidden="false" customHeight="true" outlineLevel="0" collapsed="false">
      <c r="B13" s="5" t="s">
        <v>22</v>
      </c>
      <c r="C13" s="5" t="s">
        <v>23</v>
      </c>
      <c r="D13" s="5" t="s">
        <v>24</v>
      </c>
    </row>
    <row r="14" customFormat="false" ht="23.25" hidden="false" customHeight="true" outlineLevel="0" collapsed="false">
      <c r="B14" s="5" t="s">
        <v>25</v>
      </c>
      <c r="C14" s="5" t="s">
        <v>26</v>
      </c>
      <c r="D14" s="5" t="s">
        <v>27</v>
      </c>
    </row>
    <row r="15" customFormat="false" ht="15" hidden="false" customHeight="true" outlineLevel="0" collapsed="false">
      <c r="B15" s="5" t="s">
        <v>28</v>
      </c>
      <c r="C15" s="5" t="s">
        <v>29</v>
      </c>
      <c r="D15" s="5" t="s">
        <v>30</v>
      </c>
    </row>
    <row r="18" customFormat="false" ht="15" hidden="false" customHeight="true" outlineLevel="0" collapsed="false">
      <c r="B18" s="6" t="s">
        <v>31</v>
      </c>
    </row>
    <row r="19" customFormat="false" ht="45" hidden="false" customHeight="true" outlineLevel="0" collapsed="false">
      <c r="B19" s="7" t="s">
        <v>32</v>
      </c>
      <c r="C19" s="7"/>
      <c r="D19" s="7"/>
      <c r="E19" s="7"/>
      <c r="F19" s="7"/>
      <c r="G19" s="7"/>
      <c r="H19" s="7"/>
    </row>
    <row r="21" customFormat="false" ht="15" hidden="false" customHeight="true" outlineLevel="0" collapsed="false">
      <c r="B21" s="8"/>
    </row>
  </sheetData>
  <mergeCells count="2">
    <mergeCell ref="B4:H4"/>
    <mergeCell ref="B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"/>
    <col collapsed="false" customWidth="true" hidden="false" outlineLevel="0" max="3" min="3" style="0" width="40"/>
    <col collapsed="false" customWidth="true" hidden="false" outlineLevel="0" max="4" min="4" style="0" width="75"/>
  </cols>
  <sheetData>
    <row r="2" customFormat="false" ht="17.35" hidden="false" customHeight="false" outlineLevel="0" collapsed="false">
      <c r="B2" s="9" t="s">
        <v>33</v>
      </c>
    </row>
    <row r="4" customFormat="false" ht="30" hidden="false" customHeight="true" outlineLevel="0" collapsed="false">
      <c r="B4" s="10" t="s">
        <v>34</v>
      </c>
      <c r="C4" s="10"/>
      <c r="D4" s="10"/>
      <c r="E4" s="10"/>
    </row>
    <row r="6" customFormat="false" ht="15" hidden="false" customHeight="false" outlineLevel="0" collapsed="false">
      <c r="B6" s="11" t="s">
        <v>35</v>
      </c>
      <c r="C6" s="11" t="s">
        <v>36</v>
      </c>
      <c r="D6" s="11" t="s">
        <v>37</v>
      </c>
    </row>
    <row r="7" customFormat="false" ht="33.75" hidden="false" customHeight="true" outlineLevel="0" collapsed="false">
      <c r="B7" s="12" t="n">
        <v>1</v>
      </c>
      <c r="C7" s="13" t="s">
        <v>38</v>
      </c>
      <c r="D7" s="14" t="s">
        <v>39</v>
      </c>
    </row>
    <row r="8" customFormat="false" ht="33.75" hidden="false" customHeight="true" outlineLevel="0" collapsed="false">
      <c r="B8" s="12" t="n">
        <v>2</v>
      </c>
      <c r="C8" s="13" t="s">
        <v>40</v>
      </c>
      <c r="D8" s="14" t="s">
        <v>41</v>
      </c>
    </row>
    <row r="9" customFormat="false" ht="33.75" hidden="false" customHeight="true" outlineLevel="0" collapsed="false">
      <c r="B9" s="12" t="n">
        <v>3</v>
      </c>
      <c r="C9" s="13" t="s">
        <v>42</v>
      </c>
      <c r="D9" s="14" t="s">
        <v>43</v>
      </c>
    </row>
    <row r="10" customFormat="false" ht="33.75" hidden="false" customHeight="true" outlineLevel="0" collapsed="false">
      <c r="B10" s="12" t="n">
        <v>4</v>
      </c>
      <c r="C10" s="13" t="s">
        <v>44</v>
      </c>
      <c r="D10" s="14" t="s">
        <v>45</v>
      </c>
    </row>
    <row r="11" customFormat="false" ht="33.75" hidden="false" customHeight="true" outlineLevel="0" collapsed="false">
      <c r="B11" s="12" t="n">
        <v>5</v>
      </c>
      <c r="C11" s="13" t="s">
        <v>46</v>
      </c>
      <c r="D11" s="14" t="s">
        <v>47</v>
      </c>
    </row>
    <row r="12" customFormat="false" ht="33.75" hidden="false" customHeight="true" outlineLevel="0" collapsed="false">
      <c r="B12" s="12" t="n">
        <v>6</v>
      </c>
      <c r="C12" s="13" t="s">
        <v>48</v>
      </c>
      <c r="D12" s="14" t="s">
        <v>49</v>
      </c>
    </row>
    <row r="13" customFormat="false" ht="33.75" hidden="false" customHeight="true" outlineLevel="0" collapsed="false">
      <c r="B13" s="12" t="n">
        <v>7</v>
      </c>
      <c r="C13" s="13" t="s">
        <v>50</v>
      </c>
      <c r="D13" s="14" t="s">
        <v>51</v>
      </c>
    </row>
    <row r="14" customFormat="false" ht="33.75" hidden="false" customHeight="true" outlineLevel="0" collapsed="false">
      <c r="B14" s="12" t="n">
        <v>8</v>
      </c>
      <c r="C14" s="13" t="s">
        <v>52</v>
      </c>
      <c r="D14" s="14" t="s">
        <v>53</v>
      </c>
    </row>
    <row r="15" customFormat="false" ht="33.75" hidden="false" customHeight="true" outlineLevel="0" collapsed="false">
      <c r="B15" s="12" t="n">
        <v>9</v>
      </c>
      <c r="C15" s="13" t="s">
        <v>54</v>
      </c>
      <c r="D15" s="14" t="s">
        <v>55</v>
      </c>
    </row>
    <row r="16" customFormat="false" ht="33.75" hidden="false" customHeight="true" outlineLevel="0" collapsed="false">
      <c r="B16" s="12" t="n">
        <v>10</v>
      </c>
      <c r="C16" s="13" t="s">
        <v>56</v>
      </c>
      <c r="D16" s="14" t="s">
        <v>57</v>
      </c>
    </row>
    <row r="17" customFormat="false" ht="33.75" hidden="false" customHeight="true" outlineLevel="0" collapsed="false">
      <c r="B17" s="12" t="n">
        <v>11</v>
      </c>
      <c r="C17" s="13" t="s">
        <v>58</v>
      </c>
      <c r="D17" s="14" t="s">
        <v>59</v>
      </c>
    </row>
    <row r="18" customFormat="false" ht="33.75" hidden="false" customHeight="true" outlineLevel="0" collapsed="false">
      <c r="B18" s="12" t="n">
        <v>12</v>
      </c>
      <c r="C18" s="13" t="s">
        <v>60</v>
      </c>
      <c r="D18" s="14" t="s">
        <v>61</v>
      </c>
    </row>
  </sheetData>
  <mergeCells count="1">
    <mergeCell ref="B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" activeCellId="0" sqref="G2"/>
    </sheetView>
  </sheetViews>
  <sheetFormatPr defaultColWidth="8.71484375" defaultRowHeight="15" zeroHeight="false" outlineLevelRow="0" outlineLevelCol="0"/>
  <cols>
    <col collapsed="false" customWidth="true" hidden="false" outlineLevel="0" max="1" min="1" style="15" width="12"/>
    <col collapsed="false" customWidth="true" hidden="false" outlineLevel="0" max="2" min="2" style="15" width="32"/>
    <col collapsed="false" customWidth="true" hidden="false" outlineLevel="0" max="3" min="3" style="15" width="28"/>
    <col collapsed="false" customWidth="true" hidden="false" outlineLevel="0" max="5" min="4" style="15" width="22"/>
    <col collapsed="false" customWidth="true" hidden="false" outlineLevel="0" max="6" min="6" style="15" width="20"/>
  </cols>
  <sheetData>
    <row r="1" customFormat="false" ht="15" hidden="false" customHeight="true" outlineLevel="0" collapsed="false">
      <c r="A1" s="16" t="s">
        <v>62</v>
      </c>
      <c r="B1" s="16" t="s">
        <v>63</v>
      </c>
      <c r="C1" s="16" t="s">
        <v>64</v>
      </c>
      <c r="D1" s="16" t="s">
        <v>65</v>
      </c>
      <c r="E1" s="16" t="s">
        <v>66</v>
      </c>
      <c r="F1" s="16" t="s">
        <v>67</v>
      </c>
      <c r="G1" s="16" t="s">
        <v>68</v>
      </c>
    </row>
    <row r="2" customFormat="false" ht="15" hidden="false" customHeight="true" outlineLevel="0" collapsed="false">
      <c r="A2" s="17" t="s">
        <v>69</v>
      </c>
      <c r="B2" s="17" t="s">
        <v>70</v>
      </c>
      <c r="C2" s="17" t="s">
        <v>71</v>
      </c>
      <c r="D2" s="17" t="s">
        <v>72</v>
      </c>
      <c r="E2" s="17" t="s">
        <v>73</v>
      </c>
      <c r="F2" s="17" t="s">
        <v>74</v>
      </c>
      <c r="G2" s="17" t="s">
        <v>75</v>
      </c>
    </row>
    <row r="3" customFormat="false" ht="27.75" hidden="false" customHeight="true" outlineLevel="0" collapsed="false">
      <c r="B3" s="18"/>
    </row>
    <row r="4" customFormat="false" ht="45" hidden="false" customHeight="true" outlineLevel="0" collapsed="false">
      <c r="A4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71484375" defaultRowHeight="15" zeroHeight="false" outlineLevelRow="0" outlineLevelCol="0"/>
  <cols>
    <col collapsed="false" customWidth="true" hidden="false" outlineLevel="0" max="2" min="1" style="15" width="12"/>
    <col collapsed="false" customWidth="true" hidden="false" outlineLevel="0" max="3" min="3" style="15" width="32"/>
    <col collapsed="false" customWidth="true" hidden="false" outlineLevel="0" max="4" min="4" style="15" width="18"/>
    <col collapsed="false" customWidth="true" hidden="false" outlineLevel="0" max="5" min="5" style="15" width="45"/>
  </cols>
  <sheetData>
    <row r="1" customFormat="false" ht="15" hidden="false" customHeight="true" outlineLevel="0" collapsed="false">
      <c r="A1" s="16" t="s">
        <v>76</v>
      </c>
      <c r="B1" s="16" t="s">
        <v>62</v>
      </c>
      <c r="C1" s="16" t="s">
        <v>77</v>
      </c>
      <c r="D1" s="16" t="s">
        <v>78</v>
      </c>
      <c r="E1" s="16" t="s">
        <v>65</v>
      </c>
    </row>
    <row r="2" s="20" customFormat="true" ht="15" hidden="false" customHeight="true" outlineLevel="0" collapsed="false">
      <c r="A2" s="17" t="s">
        <v>79</v>
      </c>
      <c r="B2" s="17" t="s">
        <v>69</v>
      </c>
      <c r="C2" s="17" t="s">
        <v>80</v>
      </c>
      <c r="D2" s="17" t="s">
        <v>81</v>
      </c>
      <c r="E2" s="17" t="s">
        <v>82</v>
      </c>
    </row>
    <row r="3" customFormat="false" ht="15" hidden="false" customHeight="true" outlineLevel="0" collapsed="false">
      <c r="A3" s="21" t="s">
        <v>83</v>
      </c>
      <c r="B3" s="21" t="s">
        <v>69</v>
      </c>
      <c r="C3" s="21" t="s">
        <v>84</v>
      </c>
      <c r="D3" s="21" t="s">
        <v>81</v>
      </c>
      <c r="E3" s="21" t="s">
        <v>85</v>
      </c>
    </row>
    <row r="4" customFormat="false" ht="15" hidden="false" customHeight="true" outlineLevel="0" collapsed="false">
      <c r="A4" s="22" t="s">
        <v>86</v>
      </c>
      <c r="B4" s="21" t="s">
        <v>69</v>
      </c>
      <c r="C4" s="21" t="s">
        <v>87</v>
      </c>
      <c r="D4" s="21" t="s">
        <v>88</v>
      </c>
      <c r="E4" s="21" t="s">
        <v>89</v>
      </c>
    </row>
    <row r="5" customFormat="false" ht="15" hidden="false" customHeight="true" outlineLevel="0" collapsed="false">
      <c r="A5" s="21" t="s">
        <v>90</v>
      </c>
      <c r="B5" s="21" t="s">
        <v>69</v>
      </c>
      <c r="C5" s="21" t="s">
        <v>91</v>
      </c>
      <c r="D5" s="21" t="s">
        <v>81</v>
      </c>
      <c r="E5" s="21" t="s">
        <v>92</v>
      </c>
    </row>
    <row r="6" customFormat="false" ht="15" hidden="false" customHeight="true" outlineLevel="0" collapsed="false">
      <c r="A6" s="21" t="s">
        <v>93</v>
      </c>
      <c r="B6" s="21" t="s">
        <v>69</v>
      </c>
      <c r="C6" s="21" t="s">
        <v>94</v>
      </c>
      <c r="D6" s="21" t="s">
        <v>81</v>
      </c>
      <c r="E6" s="21" t="s">
        <v>95</v>
      </c>
    </row>
    <row r="7" customFormat="false" ht="15" hidden="false" customHeight="true" outlineLevel="0" collapsed="false">
      <c r="A7" s="21" t="s">
        <v>96</v>
      </c>
      <c r="B7" s="21" t="s">
        <v>69</v>
      </c>
      <c r="C7" s="21" t="s">
        <v>97</v>
      </c>
      <c r="D7" s="21" t="s">
        <v>98</v>
      </c>
      <c r="E7" s="21" t="s">
        <v>99</v>
      </c>
    </row>
    <row r="8" customFormat="false" ht="15" hidden="false" customHeight="true" outlineLevel="0" collapsed="false">
      <c r="A8" s="21" t="s">
        <v>100</v>
      </c>
      <c r="B8" s="21" t="s">
        <v>69</v>
      </c>
      <c r="C8" s="21" t="s">
        <v>101</v>
      </c>
      <c r="D8" s="21" t="s">
        <v>81</v>
      </c>
      <c r="E8" s="21" t="s">
        <v>102</v>
      </c>
    </row>
    <row r="9" customFormat="false" ht="15" hidden="false" customHeight="true" outlineLevel="0" collapsed="false">
      <c r="A9" s="21" t="s">
        <v>103</v>
      </c>
      <c r="B9" s="21" t="s">
        <v>69</v>
      </c>
      <c r="C9" s="21" t="s">
        <v>104</v>
      </c>
      <c r="D9" s="21" t="s">
        <v>105</v>
      </c>
      <c r="E9" s="21" t="s">
        <v>106</v>
      </c>
    </row>
    <row r="10" customFormat="false" ht="15" hidden="false" customHeight="true" outlineLevel="0" collapsed="false">
      <c r="A10" s="21" t="s">
        <v>107</v>
      </c>
      <c r="B10" s="21" t="s">
        <v>69</v>
      </c>
      <c r="C10" s="21" t="s">
        <v>108</v>
      </c>
      <c r="D10" s="21" t="s">
        <v>81</v>
      </c>
      <c r="E10" s="21" t="s">
        <v>109</v>
      </c>
    </row>
    <row r="11" customFormat="false" ht="15" hidden="false" customHeight="true" outlineLevel="0" collapsed="false">
      <c r="A11" s="21" t="s">
        <v>110</v>
      </c>
      <c r="B11" s="21" t="s">
        <v>69</v>
      </c>
      <c r="C11" s="21" t="s">
        <v>111</v>
      </c>
      <c r="D11" s="21" t="s">
        <v>88</v>
      </c>
      <c r="E11" s="21" t="s">
        <v>112</v>
      </c>
    </row>
    <row r="12" customFormat="false" ht="15" hidden="false" customHeight="true" outlineLevel="0" collapsed="false">
      <c r="A12" s="21" t="s">
        <v>113</v>
      </c>
      <c r="B12" s="21" t="s">
        <v>69</v>
      </c>
      <c r="C12" s="21" t="s">
        <v>114</v>
      </c>
      <c r="D12" s="21" t="s">
        <v>81</v>
      </c>
      <c r="E12" s="21" t="s">
        <v>115</v>
      </c>
    </row>
    <row r="13" customFormat="false" ht="27.75" hidden="false" customHeight="true" outlineLevel="0" collapsed="false">
      <c r="A13" s="23" t="s">
        <v>116</v>
      </c>
      <c r="B13" s="24" t="s">
        <v>69</v>
      </c>
      <c r="C13" s="23" t="s">
        <v>117</v>
      </c>
      <c r="D13" s="23" t="s">
        <v>81</v>
      </c>
      <c r="E13" s="23" t="s">
        <v>118</v>
      </c>
    </row>
    <row r="14" customFormat="false" ht="15" hidden="false" customHeight="false" outlineLevel="0" collapsed="false">
      <c r="A14" s="23" t="s">
        <v>119</v>
      </c>
      <c r="B14" s="23" t="s">
        <v>69</v>
      </c>
      <c r="C14" s="23" t="s">
        <v>120</v>
      </c>
      <c r="D14" s="23" t="s">
        <v>88</v>
      </c>
      <c r="E14" s="23" t="s">
        <v>121</v>
      </c>
    </row>
  </sheetData>
  <dataValidations count="1">
    <dataValidation allowBlank="true" errorStyle="stop" operator="between" showDropDown="false" showErrorMessage="false" showInputMessage="false" sqref="D2:D500" type="list">
      <formula1>"Mecánica,Humana,Externa,Proceso,Diseño,Organizacional"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3" activeCellId="0" sqref="C33"/>
    </sheetView>
  </sheetViews>
  <sheetFormatPr defaultColWidth="8.71484375" defaultRowHeight="15" zeroHeight="false" outlineLevelRow="0" outlineLevelCol="0"/>
  <cols>
    <col collapsed="false" customWidth="true" hidden="false" outlineLevel="0" max="1" min="1" style="15" width="14"/>
    <col collapsed="false" customWidth="true" hidden="false" outlineLevel="0" max="2" min="2" style="15" width="12"/>
    <col collapsed="false" customWidth="true" hidden="false" outlineLevel="0" max="3" min="3" style="15" width="32"/>
    <col collapsed="false" customWidth="true" hidden="false" outlineLevel="0" max="4" min="4" style="15" width="14"/>
    <col collapsed="false" customWidth="true" hidden="false" outlineLevel="0" max="5" min="5" style="15" width="20"/>
    <col collapsed="false" customWidth="true" hidden="false" outlineLevel="0" max="6" min="6" style="15" width="45"/>
  </cols>
  <sheetData>
    <row r="1" customFormat="false" ht="23.25" hidden="false" customHeight="true" outlineLevel="0" collapsed="false">
      <c r="A1" s="16" t="s">
        <v>122</v>
      </c>
      <c r="B1" s="16" t="s">
        <v>62</v>
      </c>
      <c r="C1" s="16" t="s">
        <v>123</v>
      </c>
      <c r="D1" s="16" t="s">
        <v>124</v>
      </c>
      <c r="E1" s="16" t="s">
        <v>125</v>
      </c>
      <c r="F1" s="16" t="s">
        <v>65</v>
      </c>
    </row>
    <row r="2" s="20" customFormat="true" ht="15" hidden="false" customHeight="true" outlineLevel="0" collapsed="false">
      <c r="A2" s="17" t="s">
        <v>126</v>
      </c>
      <c r="B2" s="17" t="s">
        <v>69</v>
      </c>
      <c r="C2" s="17" t="s">
        <v>127</v>
      </c>
      <c r="D2" s="17" t="n">
        <v>4</v>
      </c>
      <c r="E2" s="17" t="s">
        <v>128</v>
      </c>
      <c r="F2" s="17" t="s">
        <v>129</v>
      </c>
    </row>
    <row r="3" customFormat="false" ht="15" hidden="false" customHeight="true" outlineLevel="0" collapsed="false">
      <c r="A3" s="21" t="s">
        <v>130</v>
      </c>
      <c r="B3" s="21" t="s">
        <v>69</v>
      </c>
      <c r="C3" s="21" t="s">
        <v>131</v>
      </c>
      <c r="D3" s="21" t="n">
        <v>5</v>
      </c>
      <c r="E3" s="21" t="s">
        <v>128</v>
      </c>
      <c r="F3" s="21" t="s">
        <v>132</v>
      </c>
    </row>
    <row r="4" customFormat="false" ht="15" hidden="false" customHeight="true" outlineLevel="0" collapsed="false">
      <c r="A4" s="22" t="s">
        <v>133</v>
      </c>
      <c r="B4" s="21" t="s">
        <v>69</v>
      </c>
      <c r="C4" s="21" t="s">
        <v>134</v>
      </c>
      <c r="D4" s="21" t="n">
        <v>3</v>
      </c>
      <c r="E4" s="21" t="s">
        <v>128</v>
      </c>
      <c r="F4" s="21" t="s">
        <v>135</v>
      </c>
    </row>
    <row r="5" customFormat="false" ht="15" hidden="false" customHeight="true" outlineLevel="0" collapsed="false">
      <c r="A5" s="21" t="s">
        <v>136</v>
      </c>
      <c r="B5" s="21" t="s">
        <v>69</v>
      </c>
      <c r="C5" s="21" t="s">
        <v>137</v>
      </c>
      <c r="D5" s="21" t="n">
        <v>3</v>
      </c>
      <c r="E5" s="21" t="s">
        <v>128</v>
      </c>
      <c r="F5" s="21" t="s">
        <v>138</v>
      </c>
    </row>
    <row r="6" customFormat="false" ht="15" hidden="false" customHeight="true" outlineLevel="0" collapsed="false">
      <c r="A6" s="21" t="s">
        <v>139</v>
      </c>
      <c r="B6" s="21" t="s">
        <v>69</v>
      </c>
      <c r="C6" s="21" t="s">
        <v>140</v>
      </c>
      <c r="D6" s="21" t="n">
        <v>2</v>
      </c>
      <c r="E6" s="21" t="s">
        <v>141</v>
      </c>
      <c r="F6" s="21" t="s">
        <v>142</v>
      </c>
    </row>
    <row r="7" customFormat="false" ht="27.75" hidden="false" customHeight="true" outlineLevel="0" collapsed="false">
      <c r="A7" s="23" t="s">
        <v>143</v>
      </c>
      <c r="B7" s="24" t="s">
        <v>69</v>
      </c>
      <c r="C7" s="23" t="s">
        <v>144</v>
      </c>
      <c r="D7" s="23" t="n">
        <v>3</v>
      </c>
      <c r="E7" s="23" t="s">
        <v>145</v>
      </c>
      <c r="F7" s="23" t="s">
        <v>146</v>
      </c>
    </row>
    <row r="8" customFormat="false" ht="15" hidden="false" customHeight="false" outlineLevel="0" collapsed="false">
      <c r="A8" s="23" t="s">
        <v>147</v>
      </c>
      <c r="B8" s="23" t="s">
        <v>69</v>
      </c>
      <c r="C8" s="23" t="s">
        <v>148</v>
      </c>
      <c r="D8" s="23" t="n">
        <v>7</v>
      </c>
      <c r="E8" s="23" t="s">
        <v>128</v>
      </c>
      <c r="F8" s="23" t="s">
        <v>149</v>
      </c>
    </row>
  </sheetData>
  <dataValidations count="2">
    <dataValidation allowBlank="true" errorStyle="stop" operator="between" showDropDown="false" showErrorMessage="false" showInputMessage="false" sqref="D2:D500" type="list">
      <formula1>"1,2,3,4,5"</formula1>
      <formula2>0</formula2>
    </dataValidation>
    <dataValidation allowBlank="true" errorStyle="stop" operator="between" showDropDown="false" showErrorMessage="false" showInputMessage="false" sqref="E2:E500" type="list">
      <formula1>"Personas,Ambiente,Activos,Reputación,Legal/Regulatorio"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" activeCellId="0" sqref="G1"/>
    </sheetView>
  </sheetViews>
  <sheetFormatPr defaultColWidth="8.71484375" defaultRowHeight="15" zeroHeight="false" outlineLevelRow="0" outlineLevelCol="0"/>
  <cols>
    <col collapsed="false" customWidth="true" hidden="false" outlineLevel="0" max="1" min="1" style="15" width="12"/>
    <col collapsed="false" customWidth="true" hidden="false" outlineLevel="0" max="2" min="2" style="15" width="14"/>
    <col collapsed="false" customWidth="true" hidden="false" outlineLevel="0" max="3" min="3" style="15" width="30"/>
    <col collapsed="false" customWidth="true" hidden="false" outlineLevel="0" max="5" min="4" style="15" width="14"/>
    <col collapsed="false" customWidth="true" hidden="false" outlineLevel="0" max="7" min="6" style="15" width="18"/>
    <col collapsed="false" customWidth="true" hidden="false" outlineLevel="0" max="8" min="8" style="15" width="22"/>
    <col collapsed="false" customWidth="true" hidden="false" outlineLevel="0" max="9" min="9" style="15" width="12"/>
  </cols>
  <sheetData>
    <row r="1" customFormat="false" ht="15" hidden="false" customHeight="true" outlineLevel="0" collapsed="false">
      <c r="A1" s="16" t="s">
        <v>150</v>
      </c>
      <c r="B1" s="16" t="s">
        <v>76</v>
      </c>
      <c r="C1" s="16" t="s">
        <v>151</v>
      </c>
      <c r="D1" s="16" t="s">
        <v>152</v>
      </c>
      <c r="E1" s="16" t="s">
        <v>153</v>
      </c>
      <c r="F1" s="16" t="s">
        <v>154</v>
      </c>
      <c r="G1" s="16" t="s">
        <v>155</v>
      </c>
      <c r="H1" s="16" t="s">
        <v>67</v>
      </c>
      <c r="I1" s="16" t="s">
        <v>156</v>
      </c>
    </row>
    <row r="2" s="20" customFormat="true" ht="15" hidden="false" customHeight="true" outlineLevel="0" collapsed="false">
      <c r="A2" s="17" t="s">
        <v>157</v>
      </c>
      <c r="B2" s="17" t="s">
        <v>79</v>
      </c>
      <c r="C2" s="17" t="s">
        <v>158</v>
      </c>
      <c r="D2" s="17" t="s">
        <v>159</v>
      </c>
      <c r="E2" s="17" t="s">
        <v>160</v>
      </c>
      <c r="F2" s="17" t="s">
        <v>161</v>
      </c>
      <c r="G2" s="17" t="s">
        <v>162</v>
      </c>
      <c r="H2" s="17" t="s">
        <v>163</v>
      </c>
      <c r="I2" s="25" t="str">
        <f aca="false">IF(F2="Fuera de servicio","ROJO",IF(F2="Degradada","AMARILLO","VERDE"))</f>
        <v>VERDE</v>
      </c>
    </row>
    <row r="3" customFormat="false" ht="15" hidden="false" customHeight="true" outlineLevel="0" collapsed="false">
      <c r="A3" s="21" t="s">
        <v>164</v>
      </c>
      <c r="B3" s="21" t="s">
        <v>79</v>
      </c>
      <c r="C3" s="21" t="s">
        <v>165</v>
      </c>
      <c r="D3" s="21" t="s">
        <v>159</v>
      </c>
      <c r="E3" s="21" t="s">
        <v>160</v>
      </c>
      <c r="F3" s="21" t="s">
        <v>166</v>
      </c>
      <c r="G3" s="21" t="s">
        <v>167</v>
      </c>
      <c r="H3" s="21" t="s">
        <v>163</v>
      </c>
      <c r="I3" s="26" t="str">
        <f aca="false">IF(F3="Fuera de servicio","ROJO",IF(F3="Degradada","AMARILLO","VERDE"))</f>
        <v>AMARILLO</v>
      </c>
    </row>
    <row r="4" customFormat="false" ht="15" hidden="false" customHeight="true" outlineLevel="0" collapsed="false">
      <c r="A4" s="22" t="s">
        <v>168</v>
      </c>
      <c r="B4" s="21" t="s">
        <v>79</v>
      </c>
      <c r="C4" s="21" t="s">
        <v>169</v>
      </c>
      <c r="D4" s="21" t="s">
        <v>159</v>
      </c>
      <c r="E4" s="21" t="s">
        <v>170</v>
      </c>
      <c r="F4" s="21" t="s">
        <v>161</v>
      </c>
      <c r="G4" s="21" t="s">
        <v>171</v>
      </c>
      <c r="H4" s="21" t="s">
        <v>172</v>
      </c>
      <c r="I4" s="26" t="str">
        <f aca="false">IF(F4="Fuera de servicio","ROJO",IF(F4="Degradada","AMARILLO","VERDE"))</f>
        <v>VERDE</v>
      </c>
    </row>
    <row r="5" customFormat="false" ht="15" hidden="false" customHeight="true" outlineLevel="0" collapsed="false">
      <c r="A5" s="21" t="s">
        <v>173</v>
      </c>
      <c r="B5" s="21" t="s">
        <v>83</v>
      </c>
      <c r="C5" s="21" t="s">
        <v>174</v>
      </c>
      <c r="D5" s="21" t="s">
        <v>159</v>
      </c>
      <c r="E5" s="21" t="s">
        <v>160</v>
      </c>
      <c r="F5" s="21" t="s">
        <v>161</v>
      </c>
      <c r="G5" s="21" t="s">
        <v>175</v>
      </c>
      <c r="H5" s="21" t="s">
        <v>163</v>
      </c>
      <c r="I5" s="26" t="str">
        <f aca="false">IF(F5="Fuera de servicio","ROJO",IF(F5="Degradada","AMARILLO","VERDE"))</f>
        <v>VERDE</v>
      </c>
    </row>
    <row r="6" customFormat="false" ht="15" hidden="false" customHeight="true" outlineLevel="0" collapsed="false">
      <c r="A6" s="21" t="s">
        <v>176</v>
      </c>
      <c r="B6" s="21" t="s">
        <v>83</v>
      </c>
      <c r="C6" s="21" t="s">
        <v>177</v>
      </c>
      <c r="D6" s="21" t="s">
        <v>105</v>
      </c>
      <c r="E6" s="21" t="s">
        <v>160</v>
      </c>
      <c r="F6" s="21" t="s">
        <v>166</v>
      </c>
      <c r="G6" s="21" t="s">
        <v>178</v>
      </c>
      <c r="H6" s="21" t="s">
        <v>179</v>
      </c>
      <c r="I6" s="26" t="str">
        <f aca="false">IF(F6="Fuera de servicio","ROJO",IF(F6="Degradada","AMARILLO","VERDE"))</f>
        <v>AMARILLO</v>
      </c>
    </row>
    <row r="7" customFormat="false" ht="15" hidden="false" customHeight="true" outlineLevel="0" collapsed="false">
      <c r="A7" s="21" t="s">
        <v>180</v>
      </c>
      <c r="B7" s="21" t="s">
        <v>83</v>
      </c>
      <c r="C7" s="21" t="s">
        <v>181</v>
      </c>
      <c r="D7" s="21" t="s">
        <v>159</v>
      </c>
      <c r="E7" s="21" t="s">
        <v>170</v>
      </c>
      <c r="F7" s="21" t="s">
        <v>161</v>
      </c>
      <c r="G7" s="21" t="s">
        <v>182</v>
      </c>
      <c r="H7" s="21" t="s">
        <v>183</v>
      </c>
      <c r="I7" s="26" t="str">
        <f aca="false">IF(F7="Fuera de servicio","ROJO",IF(F7="Degradada","AMARILLO","VERDE"))</f>
        <v>VERDE</v>
      </c>
    </row>
    <row r="8" customFormat="false" ht="15" hidden="false" customHeight="true" outlineLevel="0" collapsed="false">
      <c r="A8" s="21" t="s">
        <v>184</v>
      </c>
      <c r="B8" s="21" t="s">
        <v>86</v>
      </c>
      <c r="C8" s="21" t="s">
        <v>185</v>
      </c>
      <c r="D8" s="21" t="s">
        <v>186</v>
      </c>
      <c r="E8" s="21" t="s">
        <v>160</v>
      </c>
      <c r="F8" s="21" t="s">
        <v>161</v>
      </c>
      <c r="G8" s="21" t="s">
        <v>187</v>
      </c>
      <c r="H8" s="21" t="s">
        <v>163</v>
      </c>
      <c r="I8" s="26" t="str">
        <f aca="false">IF(F8="Fuera de servicio","ROJO",IF(F8="Degradada","AMARILLO","VERDE"))</f>
        <v>VERDE</v>
      </c>
    </row>
    <row r="9" customFormat="false" ht="15" hidden="false" customHeight="true" outlineLevel="0" collapsed="false">
      <c r="A9" s="21" t="s">
        <v>188</v>
      </c>
      <c r="B9" s="21" t="s">
        <v>86</v>
      </c>
      <c r="C9" s="21" t="s">
        <v>189</v>
      </c>
      <c r="D9" s="21" t="s">
        <v>159</v>
      </c>
      <c r="E9" s="21" t="s">
        <v>160</v>
      </c>
      <c r="F9" s="21" t="s">
        <v>161</v>
      </c>
      <c r="G9" s="21" t="s">
        <v>190</v>
      </c>
      <c r="H9" s="21" t="s">
        <v>191</v>
      </c>
      <c r="I9" s="26" t="str">
        <f aca="false">IF(F9="Fuera de servicio","ROJO",IF(F9="Degradada","AMARILLO","VERDE"))</f>
        <v>VERDE</v>
      </c>
    </row>
    <row r="10" customFormat="false" ht="15" hidden="false" customHeight="true" outlineLevel="0" collapsed="false">
      <c r="A10" s="21" t="s">
        <v>192</v>
      </c>
      <c r="B10" s="21" t="s">
        <v>86</v>
      </c>
      <c r="C10" s="21" t="s">
        <v>193</v>
      </c>
      <c r="D10" s="21" t="s">
        <v>105</v>
      </c>
      <c r="E10" s="21" t="s">
        <v>160</v>
      </c>
      <c r="F10" s="21" t="s">
        <v>194</v>
      </c>
      <c r="G10" s="21" t="s">
        <v>195</v>
      </c>
      <c r="H10" s="21" t="s">
        <v>172</v>
      </c>
      <c r="I10" s="26" t="str">
        <f aca="false">IF(F10="Fuera de servicio","ROJO",IF(F10="Degradada","AMARILLO","VERDE"))</f>
        <v>ROJO</v>
      </c>
    </row>
    <row r="11" customFormat="false" ht="15" hidden="false" customHeight="true" outlineLevel="0" collapsed="false">
      <c r="A11" s="21" t="s">
        <v>196</v>
      </c>
      <c r="B11" s="21" t="s">
        <v>90</v>
      </c>
      <c r="C11" s="21" t="s">
        <v>197</v>
      </c>
      <c r="D11" s="21" t="s">
        <v>159</v>
      </c>
      <c r="E11" s="21" t="s">
        <v>160</v>
      </c>
      <c r="F11" s="21" t="s">
        <v>161</v>
      </c>
      <c r="G11" s="21" t="s">
        <v>198</v>
      </c>
      <c r="H11" s="21" t="s">
        <v>179</v>
      </c>
      <c r="I11" s="26" t="str">
        <f aca="false">IF(F11="Fuera de servicio","ROJO",IF(F11="Degradada","AMARILLO","VERDE"))</f>
        <v>VERDE</v>
      </c>
    </row>
    <row r="12" customFormat="false" ht="15" hidden="false" customHeight="true" outlineLevel="0" collapsed="false">
      <c r="A12" s="21" t="s">
        <v>199</v>
      </c>
      <c r="B12" s="21" t="s">
        <v>90</v>
      </c>
      <c r="C12" s="21" t="s">
        <v>200</v>
      </c>
      <c r="D12" s="21" t="s">
        <v>105</v>
      </c>
      <c r="E12" s="21" t="s">
        <v>170</v>
      </c>
      <c r="F12" s="21" t="s">
        <v>161</v>
      </c>
      <c r="G12" s="21" t="s">
        <v>171</v>
      </c>
      <c r="H12" s="21" t="s">
        <v>172</v>
      </c>
      <c r="I12" s="26" t="str">
        <f aca="false">IF(F12="Fuera de servicio","ROJO",IF(F12="Degradada","AMARILLO","VERDE"))</f>
        <v>VERDE</v>
      </c>
    </row>
    <row r="13" customFormat="false" ht="15" hidden="false" customHeight="true" outlineLevel="0" collapsed="false">
      <c r="A13" s="21" t="s">
        <v>201</v>
      </c>
      <c r="B13" s="21" t="s">
        <v>93</v>
      </c>
      <c r="C13" s="21" t="s">
        <v>202</v>
      </c>
      <c r="D13" s="21" t="s">
        <v>159</v>
      </c>
      <c r="E13" s="21" t="s">
        <v>170</v>
      </c>
      <c r="F13" s="21" t="s">
        <v>166</v>
      </c>
      <c r="G13" s="21" t="s">
        <v>203</v>
      </c>
      <c r="H13" s="21" t="s">
        <v>172</v>
      </c>
      <c r="I13" s="26" t="str">
        <f aca="false">IF(F13="Fuera de servicio","ROJO",IF(F13="Degradada","AMARILLO","VERDE"))</f>
        <v>AMARILLO</v>
      </c>
    </row>
    <row r="14" customFormat="false" ht="15" hidden="false" customHeight="true" outlineLevel="0" collapsed="false">
      <c r="A14" s="21" t="s">
        <v>204</v>
      </c>
      <c r="B14" s="21" t="s">
        <v>93</v>
      </c>
      <c r="C14" s="21" t="s">
        <v>205</v>
      </c>
      <c r="D14" s="21" t="s">
        <v>159</v>
      </c>
      <c r="E14" s="21" t="s">
        <v>160</v>
      </c>
      <c r="F14" s="21" t="s">
        <v>161</v>
      </c>
      <c r="G14" s="21" t="s">
        <v>206</v>
      </c>
      <c r="H14" s="21" t="s">
        <v>191</v>
      </c>
      <c r="I14" s="26" t="str">
        <f aca="false">IF(F14="Fuera de servicio","ROJO",IF(F14="Degradada","AMARILLO","VERDE"))</f>
        <v>VERDE</v>
      </c>
    </row>
    <row r="15" customFormat="false" ht="15" hidden="false" customHeight="true" outlineLevel="0" collapsed="false">
      <c r="A15" s="21" t="s">
        <v>207</v>
      </c>
      <c r="B15" s="21" t="s">
        <v>96</v>
      </c>
      <c r="C15" s="21" t="s">
        <v>208</v>
      </c>
      <c r="D15" s="21" t="s">
        <v>186</v>
      </c>
      <c r="E15" s="21" t="s">
        <v>170</v>
      </c>
      <c r="F15" s="21" t="s">
        <v>161</v>
      </c>
      <c r="G15" s="21" t="s">
        <v>209</v>
      </c>
      <c r="H15" s="21" t="s">
        <v>210</v>
      </c>
      <c r="I15" s="26" t="str">
        <f aca="false">IF(F15="Fuera de servicio","ROJO",IF(F15="Degradada","AMARILLO","VERDE"))</f>
        <v>VERDE</v>
      </c>
    </row>
    <row r="16" customFormat="false" ht="15" hidden="false" customHeight="true" outlineLevel="0" collapsed="false">
      <c r="A16" s="21" t="s">
        <v>211</v>
      </c>
      <c r="B16" s="21" t="s">
        <v>96</v>
      </c>
      <c r="C16" s="21" t="s">
        <v>212</v>
      </c>
      <c r="D16" s="21" t="s">
        <v>105</v>
      </c>
      <c r="E16" s="21" t="s">
        <v>160</v>
      </c>
      <c r="F16" s="21" t="s">
        <v>166</v>
      </c>
      <c r="G16" s="21" t="s">
        <v>213</v>
      </c>
      <c r="H16" s="21" t="s">
        <v>210</v>
      </c>
      <c r="I16" s="26" t="str">
        <f aca="false">IF(F16="Fuera de servicio","ROJO",IF(F16="Degradada","AMARILLO","VERDE"))</f>
        <v>AMARILLO</v>
      </c>
    </row>
    <row r="17" customFormat="false" ht="15" hidden="false" customHeight="true" outlineLevel="0" collapsed="false">
      <c r="A17" s="21" t="s">
        <v>214</v>
      </c>
      <c r="B17" s="21" t="s">
        <v>96</v>
      </c>
      <c r="C17" s="21" t="s">
        <v>215</v>
      </c>
      <c r="D17" s="21" t="s">
        <v>186</v>
      </c>
      <c r="E17" s="21" t="s">
        <v>170</v>
      </c>
      <c r="F17" s="21" t="s">
        <v>161</v>
      </c>
      <c r="G17" s="21" t="s">
        <v>216</v>
      </c>
      <c r="H17" s="21" t="s">
        <v>217</v>
      </c>
      <c r="I17" s="26" t="str">
        <f aca="false">IF(F17="Fuera de servicio","ROJO",IF(F17="Degradada","AMARILLO","VERDE"))</f>
        <v>VERDE</v>
      </c>
    </row>
    <row r="18" customFormat="false" ht="15" hidden="false" customHeight="true" outlineLevel="0" collapsed="false">
      <c r="A18" s="21" t="s">
        <v>218</v>
      </c>
      <c r="B18" s="21" t="s">
        <v>100</v>
      </c>
      <c r="C18" s="21" t="s">
        <v>219</v>
      </c>
      <c r="D18" s="21" t="s">
        <v>159</v>
      </c>
      <c r="E18" s="21" t="s">
        <v>160</v>
      </c>
      <c r="F18" s="21" t="s">
        <v>161</v>
      </c>
      <c r="G18" s="21" t="s">
        <v>220</v>
      </c>
      <c r="H18" s="21" t="s">
        <v>191</v>
      </c>
      <c r="I18" s="26" t="str">
        <f aca="false">IF(F18="Fuera de servicio","ROJO",IF(F18="Degradada","AMARILLO","VERDE"))</f>
        <v>VERDE</v>
      </c>
    </row>
    <row r="19" customFormat="false" ht="15" hidden="false" customHeight="true" outlineLevel="0" collapsed="false">
      <c r="A19" s="21" t="s">
        <v>221</v>
      </c>
      <c r="B19" s="21" t="s">
        <v>100</v>
      </c>
      <c r="C19" s="21" t="s">
        <v>222</v>
      </c>
      <c r="D19" s="21" t="s">
        <v>105</v>
      </c>
      <c r="E19" s="21" t="s">
        <v>160</v>
      </c>
      <c r="F19" s="21" t="s">
        <v>166</v>
      </c>
      <c r="G19" s="21" t="s">
        <v>223</v>
      </c>
      <c r="H19" s="21" t="s">
        <v>224</v>
      </c>
      <c r="I19" s="26" t="str">
        <f aca="false">IF(F19="Fuera de servicio","ROJO",IF(F19="Degradada","AMARILLO","VERDE"))</f>
        <v>AMARILLO</v>
      </c>
    </row>
    <row r="20" customFormat="false" ht="15" hidden="false" customHeight="true" outlineLevel="0" collapsed="false">
      <c r="A20" s="21" t="s">
        <v>225</v>
      </c>
      <c r="B20" s="21" t="s">
        <v>103</v>
      </c>
      <c r="C20" s="21" t="s">
        <v>226</v>
      </c>
      <c r="D20" s="21" t="s">
        <v>105</v>
      </c>
      <c r="E20" s="21" t="s">
        <v>160</v>
      </c>
      <c r="F20" s="21" t="s">
        <v>161</v>
      </c>
      <c r="G20" s="21" t="s">
        <v>171</v>
      </c>
      <c r="H20" s="21" t="s">
        <v>74</v>
      </c>
      <c r="I20" s="26" t="str">
        <f aca="false">IF(F20="Fuera de servicio","ROJO",IF(F20="Degradada","AMARILLO","VERDE"))</f>
        <v>VERDE</v>
      </c>
    </row>
    <row r="21" customFormat="false" ht="15" hidden="false" customHeight="true" outlineLevel="0" collapsed="false">
      <c r="A21" s="21" t="s">
        <v>227</v>
      </c>
      <c r="B21" s="21" t="s">
        <v>103</v>
      </c>
      <c r="C21" s="21" t="s">
        <v>228</v>
      </c>
      <c r="D21" s="21" t="s">
        <v>159</v>
      </c>
      <c r="E21" s="21" t="s">
        <v>160</v>
      </c>
      <c r="F21" s="21" t="s">
        <v>161</v>
      </c>
      <c r="G21" s="21" t="s">
        <v>229</v>
      </c>
      <c r="H21" s="21" t="s">
        <v>191</v>
      </c>
      <c r="I21" s="26" t="str">
        <f aca="false">IF(F21="Fuera de servicio","ROJO",IF(F21="Degradada","AMARILLO","VERDE"))</f>
        <v>VERDE</v>
      </c>
    </row>
    <row r="22" customFormat="false" ht="15" hidden="false" customHeight="true" outlineLevel="0" collapsed="false">
      <c r="A22" s="21" t="s">
        <v>230</v>
      </c>
      <c r="B22" s="21" t="s">
        <v>103</v>
      </c>
      <c r="C22" s="21" t="s">
        <v>231</v>
      </c>
      <c r="D22" s="21" t="s">
        <v>105</v>
      </c>
      <c r="E22" s="21" t="s">
        <v>170</v>
      </c>
      <c r="F22" s="21" t="s">
        <v>194</v>
      </c>
      <c r="G22" s="21" t="s">
        <v>232</v>
      </c>
      <c r="H22" s="21" t="s">
        <v>233</v>
      </c>
      <c r="I22" s="26" t="str">
        <f aca="false">IF(F22="Fuera de servicio","ROJO",IF(F22="Degradada","AMARILLO","VERDE"))</f>
        <v>ROJO</v>
      </c>
    </row>
    <row r="23" customFormat="false" ht="15" hidden="false" customHeight="true" outlineLevel="0" collapsed="false">
      <c r="A23" s="21" t="s">
        <v>234</v>
      </c>
      <c r="B23" s="21" t="s">
        <v>107</v>
      </c>
      <c r="C23" s="21" t="s">
        <v>235</v>
      </c>
      <c r="D23" s="21" t="s">
        <v>159</v>
      </c>
      <c r="E23" s="21" t="s">
        <v>160</v>
      </c>
      <c r="F23" s="21" t="s">
        <v>161</v>
      </c>
      <c r="G23" s="21" t="s">
        <v>175</v>
      </c>
      <c r="H23" s="21" t="s">
        <v>163</v>
      </c>
      <c r="I23" s="26" t="str">
        <f aca="false">IF(F23="Fuera de servicio","ROJO",IF(F23="Degradada","AMARILLO","VERDE"))</f>
        <v>VERDE</v>
      </c>
    </row>
    <row r="24" customFormat="false" ht="15" hidden="false" customHeight="true" outlineLevel="0" collapsed="false">
      <c r="A24" s="21" t="s">
        <v>236</v>
      </c>
      <c r="B24" s="21" t="s">
        <v>107</v>
      </c>
      <c r="C24" s="21" t="s">
        <v>237</v>
      </c>
      <c r="D24" s="21" t="s">
        <v>159</v>
      </c>
      <c r="E24" s="21" t="s">
        <v>170</v>
      </c>
      <c r="F24" s="21" t="s">
        <v>166</v>
      </c>
      <c r="G24" s="21" t="s">
        <v>238</v>
      </c>
      <c r="H24" s="21" t="s">
        <v>172</v>
      </c>
      <c r="I24" s="26" t="str">
        <f aca="false">IF(F24="Fuera de servicio","ROJO",IF(F24="Degradada","AMARILLO","VERDE"))</f>
        <v>AMARILLO</v>
      </c>
    </row>
    <row r="25" customFormat="false" ht="15" hidden="false" customHeight="true" outlineLevel="0" collapsed="false">
      <c r="A25" s="21" t="s">
        <v>239</v>
      </c>
      <c r="B25" s="21" t="s">
        <v>110</v>
      </c>
      <c r="C25" s="21" t="s">
        <v>240</v>
      </c>
      <c r="D25" s="21" t="s">
        <v>186</v>
      </c>
      <c r="E25" s="21" t="s">
        <v>170</v>
      </c>
      <c r="F25" s="21" t="s">
        <v>161</v>
      </c>
      <c r="G25" s="21" t="s">
        <v>241</v>
      </c>
      <c r="H25" s="21" t="s">
        <v>217</v>
      </c>
      <c r="I25" s="26" t="str">
        <f aca="false">IF(F25="Fuera de servicio","ROJO",IF(F25="Degradada","AMARILLO","VERDE"))</f>
        <v>VERDE</v>
      </c>
    </row>
    <row r="26" customFormat="false" ht="15" hidden="false" customHeight="true" outlineLevel="0" collapsed="false">
      <c r="A26" s="21" t="s">
        <v>242</v>
      </c>
      <c r="B26" s="21" t="s">
        <v>110</v>
      </c>
      <c r="C26" s="21" t="s">
        <v>243</v>
      </c>
      <c r="D26" s="21" t="s">
        <v>159</v>
      </c>
      <c r="E26" s="21" t="s">
        <v>160</v>
      </c>
      <c r="F26" s="21" t="s">
        <v>161</v>
      </c>
      <c r="G26" s="21" t="s">
        <v>182</v>
      </c>
      <c r="H26" s="21" t="s">
        <v>191</v>
      </c>
      <c r="I26" s="26" t="str">
        <f aca="false">IF(F26="Fuera de servicio","ROJO",IF(F26="Degradada","AMARILLO","VERDE"))</f>
        <v>VERDE</v>
      </c>
    </row>
    <row r="27" customFormat="false" ht="15" hidden="false" customHeight="true" outlineLevel="0" collapsed="false">
      <c r="A27" s="21" t="s">
        <v>244</v>
      </c>
      <c r="B27" s="21" t="s">
        <v>113</v>
      </c>
      <c r="C27" s="21" t="s">
        <v>245</v>
      </c>
      <c r="D27" s="21" t="s">
        <v>105</v>
      </c>
      <c r="E27" s="21" t="s">
        <v>160</v>
      </c>
      <c r="F27" s="21" t="s">
        <v>166</v>
      </c>
      <c r="G27" s="21" t="s">
        <v>246</v>
      </c>
      <c r="H27" s="21" t="s">
        <v>179</v>
      </c>
      <c r="I27" s="26" t="str">
        <f aca="false">IF(F27="Fuera de servicio","ROJO",IF(F27="Degradada","AMARILLO","VERDE"))</f>
        <v>AMARILLO</v>
      </c>
    </row>
    <row r="28" customFormat="false" ht="15" hidden="false" customHeight="true" outlineLevel="0" collapsed="false">
      <c r="A28" s="21" t="s">
        <v>247</v>
      </c>
      <c r="B28" s="21" t="s">
        <v>113</v>
      </c>
      <c r="C28" s="21" t="s">
        <v>248</v>
      </c>
      <c r="D28" s="21" t="s">
        <v>186</v>
      </c>
      <c r="E28" s="21" t="s">
        <v>170</v>
      </c>
      <c r="F28" s="21" t="s">
        <v>161</v>
      </c>
      <c r="G28" s="21" t="s">
        <v>249</v>
      </c>
      <c r="H28" s="21" t="s">
        <v>172</v>
      </c>
      <c r="I28" s="26" t="str">
        <f aca="false">IF(F28="Fuera de servicio","ROJO",IF(F28="Degradada","AMARILLO","VERDE"))</f>
        <v>VERDE</v>
      </c>
    </row>
    <row r="29" customFormat="false" ht="15" hidden="false" customHeight="false" outlineLevel="0" collapsed="false">
      <c r="A29" s="23" t="s">
        <v>250</v>
      </c>
      <c r="B29" s="23" t="s">
        <v>251</v>
      </c>
      <c r="C29" s="23" t="s">
        <v>252</v>
      </c>
      <c r="D29" s="23" t="s">
        <v>159</v>
      </c>
      <c r="E29" s="23" t="s">
        <v>160</v>
      </c>
      <c r="F29" s="23" t="s">
        <v>161</v>
      </c>
      <c r="G29" s="23" t="s">
        <v>253</v>
      </c>
      <c r="H29" s="23" t="s">
        <v>254</v>
      </c>
      <c r="I29" s="27" t="str">
        <f aca="false">IF(F29="Fuera de servicio","ROJO",IF(F29="Degradada","AMARILLO","VERDE"))</f>
        <v>VERDE</v>
      </c>
    </row>
    <row r="30" customFormat="false" ht="27.75" hidden="false" customHeight="true" outlineLevel="0" collapsed="false">
      <c r="A30" s="23" t="s">
        <v>157</v>
      </c>
      <c r="B30" s="24" t="s">
        <v>83</v>
      </c>
      <c r="C30" s="23" t="s">
        <v>255</v>
      </c>
      <c r="D30" s="23" t="s">
        <v>105</v>
      </c>
      <c r="E30" s="23" t="s">
        <v>160</v>
      </c>
      <c r="F30" s="23" t="s">
        <v>166</v>
      </c>
      <c r="G30" s="23" t="s">
        <v>253</v>
      </c>
      <c r="H30" s="23" t="s">
        <v>254</v>
      </c>
      <c r="I30" s="27" t="str">
        <f aca="false">IF(F30="Fuera de servicio","ROJO",IF(F30="Degradada","AMARILLO","VERDE"))</f>
        <v>AMARILLO</v>
      </c>
    </row>
    <row r="31" customFormat="false" ht="15" hidden="false" customHeight="false" outlineLevel="0" collapsed="false">
      <c r="A31" s="23" t="s">
        <v>256</v>
      </c>
      <c r="B31" s="23" t="s">
        <v>86</v>
      </c>
      <c r="C31" s="23"/>
      <c r="D31" s="23" t="s">
        <v>159</v>
      </c>
      <c r="E31" s="23" t="s">
        <v>160</v>
      </c>
      <c r="F31" s="23" t="s">
        <v>161</v>
      </c>
      <c r="G31" s="23" t="s">
        <v>253</v>
      </c>
      <c r="H31" s="23" t="s">
        <v>254</v>
      </c>
      <c r="I31" s="27" t="str">
        <f aca="false">IF(F31="Fuera de servicio","ROJO",IF(F31="Degradada","AMARILLO","VERDE"))</f>
        <v>VERDE</v>
      </c>
    </row>
  </sheetData>
  <dataValidations count="3">
    <dataValidation allowBlank="true" errorStyle="stop" operator="between" showDropDown="false" showErrorMessage="false" showInputMessage="false" sqref="D2:D500" type="list">
      <formula1>"Activa,Pasiva,Humana"</formula1>
      <formula2>0</formula2>
    </dataValidation>
    <dataValidation allowBlank="true" errorStyle="stop" operator="between" showDropDown="false" showErrorMessage="false" showInputMessage="false" sqref="E2:E500" type="list">
      <formula1>"Crítica,No crítica"</formula1>
      <formula2>0</formula2>
    </dataValidation>
    <dataValidation allowBlank="true" errorStyle="stop" operator="between" showDropDown="false" showErrorMessage="false" showInputMessage="false" sqref="F2:F500" type="list">
      <formula1>"Operativa,Degradada,Fuera de servicio"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71484375" defaultRowHeight="15" zeroHeight="false" outlineLevelRow="0" outlineLevelCol="0"/>
  <cols>
    <col collapsed="false" customWidth="true" hidden="false" outlineLevel="0" max="1" min="1" style="15" width="12"/>
    <col collapsed="false" customWidth="true" hidden="false" outlineLevel="0" max="2" min="2" style="15" width="14"/>
    <col collapsed="false" customWidth="true" hidden="false" outlineLevel="0" max="3" min="3" style="15" width="30"/>
    <col collapsed="false" customWidth="true" hidden="false" outlineLevel="0" max="5" min="4" style="15" width="14"/>
    <col collapsed="false" customWidth="true" hidden="false" outlineLevel="0" max="7" min="6" style="15" width="18"/>
    <col collapsed="false" customWidth="true" hidden="false" outlineLevel="0" max="8" min="8" style="15" width="22"/>
    <col collapsed="false" customWidth="true" hidden="false" outlineLevel="0" max="9" min="9" style="15" width="12"/>
  </cols>
  <sheetData>
    <row r="1" customFormat="false" ht="23.25" hidden="false" customHeight="true" outlineLevel="0" collapsed="false">
      <c r="A1" s="16" t="s">
        <v>150</v>
      </c>
      <c r="B1" s="16" t="s">
        <v>122</v>
      </c>
      <c r="C1" s="16" t="s">
        <v>151</v>
      </c>
      <c r="D1" s="16" t="s">
        <v>152</v>
      </c>
      <c r="E1" s="16" t="s">
        <v>153</v>
      </c>
      <c r="F1" s="16" t="s">
        <v>154</v>
      </c>
      <c r="G1" s="16" t="s">
        <v>155</v>
      </c>
      <c r="H1" s="16" t="s">
        <v>67</v>
      </c>
      <c r="I1" s="16" t="s">
        <v>156</v>
      </c>
    </row>
    <row r="2" s="20" customFormat="true" ht="15" hidden="false" customHeight="true" outlineLevel="0" collapsed="false">
      <c r="A2" s="17" t="s">
        <v>257</v>
      </c>
      <c r="B2" s="17" t="s">
        <v>126</v>
      </c>
      <c r="C2" s="17" t="s">
        <v>258</v>
      </c>
      <c r="D2" s="17" t="s">
        <v>159</v>
      </c>
      <c r="E2" s="17" t="s">
        <v>160</v>
      </c>
      <c r="F2" s="17" t="s">
        <v>166</v>
      </c>
      <c r="G2" s="17" t="s">
        <v>259</v>
      </c>
      <c r="H2" s="17" t="s">
        <v>191</v>
      </c>
      <c r="I2" s="25" t="str">
        <f aca="false">IF(F2="Fuera de servicio","ROJO",IF(F2="Degradada","AMARILLO","VERDE"))</f>
        <v>AMARILLO</v>
      </c>
    </row>
    <row r="3" customFormat="false" ht="15" hidden="false" customHeight="true" outlineLevel="0" collapsed="false">
      <c r="A3" s="21" t="s">
        <v>260</v>
      </c>
      <c r="B3" s="21" t="s">
        <v>126</v>
      </c>
      <c r="C3" s="21" t="s">
        <v>261</v>
      </c>
      <c r="D3" s="21" t="s">
        <v>159</v>
      </c>
      <c r="E3" s="21" t="s">
        <v>160</v>
      </c>
      <c r="F3" s="21" t="s">
        <v>161</v>
      </c>
      <c r="G3" s="21" t="s">
        <v>171</v>
      </c>
      <c r="H3" s="21" t="s">
        <v>210</v>
      </c>
      <c r="I3" s="26" t="str">
        <f aca="false">IF(F3="Fuera de servicio","ROJO",IF(F3="Degradada","AMARILLO","VERDE"))</f>
        <v>VERDE</v>
      </c>
    </row>
    <row r="4" customFormat="false" ht="15" hidden="false" customHeight="true" outlineLevel="0" collapsed="false">
      <c r="A4" s="22" t="s">
        <v>262</v>
      </c>
      <c r="B4" s="21" t="s">
        <v>126</v>
      </c>
      <c r="C4" s="21" t="s">
        <v>263</v>
      </c>
      <c r="D4" s="21" t="s">
        <v>159</v>
      </c>
      <c r="E4" s="21" t="s">
        <v>160</v>
      </c>
      <c r="F4" s="21" t="s">
        <v>161</v>
      </c>
      <c r="G4" s="21" t="s">
        <v>190</v>
      </c>
      <c r="H4" s="21" t="s">
        <v>191</v>
      </c>
      <c r="I4" s="26" t="str">
        <f aca="false">IF(F4="Fuera de servicio","ROJO",IF(F4="Degradada","AMARILLO","VERDE"))</f>
        <v>VERDE</v>
      </c>
    </row>
    <row r="5" customFormat="false" ht="15" hidden="false" customHeight="true" outlineLevel="0" collapsed="false">
      <c r="A5" s="21" t="s">
        <v>264</v>
      </c>
      <c r="B5" s="21" t="s">
        <v>126</v>
      </c>
      <c r="C5" s="21" t="s">
        <v>265</v>
      </c>
      <c r="D5" s="21" t="s">
        <v>105</v>
      </c>
      <c r="E5" s="21" t="s">
        <v>160</v>
      </c>
      <c r="F5" s="21" t="s">
        <v>166</v>
      </c>
      <c r="G5" s="21" t="s">
        <v>266</v>
      </c>
      <c r="H5" s="21" t="s">
        <v>210</v>
      </c>
      <c r="I5" s="26" t="str">
        <f aca="false">IF(F5="Fuera de servicio","ROJO",IF(F5="Degradada","AMARILLO","VERDE"))</f>
        <v>AMARILLO</v>
      </c>
    </row>
    <row r="6" customFormat="false" ht="15" hidden="false" customHeight="true" outlineLevel="0" collapsed="false">
      <c r="A6" s="21" t="s">
        <v>267</v>
      </c>
      <c r="B6" s="21" t="s">
        <v>130</v>
      </c>
      <c r="C6" s="21" t="s">
        <v>268</v>
      </c>
      <c r="D6" s="21" t="s">
        <v>186</v>
      </c>
      <c r="E6" s="21" t="s">
        <v>160</v>
      </c>
      <c r="F6" s="21" t="s">
        <v>161</v>
      </c>
      <c r="G6" s="21" t="s">
        <v>269</v>
      </c>
      <c r="H6" s="21" t="s">
        <v>270</v>
      </c>
      <c r="I6" s="26" t="str">
        <f aca="false">IF(F6="Fuera de servicio","ROJO",IF(F6="Degradada","AMARILLO","VERDE"))</f>
        <v>VERDE</v>
      </c>
    </row>
    <row r="7" customFormat="false" ht="15" hidden="false" customHeight="true" outlineLevel="0" collapsed="false">
      <c r="A7" s="21" t="s">
        <v>271</v>
      </c>
      <c r="B7" s="21" t="s">
        <v>130</v>
      </c>
      <c r="C7" s="21" t="s">
        <v>272</v>
      </c>
      <c r="D7" s="21" t="s">
        <v>159</v>
      </c>
      <c r="E7" s="21" t="s">
        <v>160</v>
      </c>
      <c r="F7" s="21" t="s">
        <v>194</v>
      </c>
      <c r="G7" s="21" t="s">
        <v>273</v>
      </c>
      <c r="H7" s="21" t="s">
        <v>191</v>
      </c>
      <c r="I7" s="26" t="str">
        <f aca="false">IF(F7="Fuera de servicio","ROJO",IF(F7="Degradada","AMARILLO","VERDE"))</f>
        <v>ROJO</v>
      </c>
    </row>
    <row r="8" customFormat="false" ht="15" hidden="false" customHeight="true" outlineLevel="0" collapsed="false">
      <c r="A8" s="21" t="s">
        <v>274</v>
      </c>
      <c r="B8" s="21" t="s">
        <v>130</v>
      </c>
      <c r="C8" s="21" t="s">
        <v>275</v>
      </c>
      <c r="D8" s="21" t="s">
        <v>186</v>
      </c>
      <c r="E8" s="21" t="s">
        <v>170</v>
      </c>
      <c r="F8" s="21" t="s">
        <v>161</v>
      </c>
      <c r="G8" s="21" t="s">
        <v>276</v>
      </c>
      <c r="H8" s="21" t="s">
        <v>217</v>
      </c>
      <c r="I8" s="26" t="str">
        <f aca="false">IF(F8="Fuera de servicio","ROJO",IF(F8="Degradada","AMARILLO","VERDE"))</f>
        <v>VERDE</v>
      </c>
    </row>
    <row r="9" customFormat="false" ht="15" hidden="false" customHeight="true" outlineLevel="0" collapsed="false">
      <c r="A9" s="21" t="s">
        <v>277</v>
      </c>
      <c r="B9" s="21" t="s">
        <v>130</v>
      </c>
      <c r="C9" s="21" t="s">
        <v>278</v>
      </c>
      <c r="D9" s="21" t="s">
        <v>105</v>
      </c>
      <c r="E9" s="21" t="s">
        <v>160</v>
      </c>
      <c r="F9" s="21" t="s">
        <v>166</v>
      </c>
      <c r="G9" s="21" t="s">
        <v>266</v>
      </c>
      <c r="H9" s="21" t="s">
        <v>210</v>
      </c>
      <c r="I9" s="26" t="str">
        <f aca="false">IF(F9="Fuera de servicio","ROJO",IF(F9="Degradada","AMARILLO","VERDE"))</f>
        <v>AMARILLO</v>
      </c>
    </row>
    <row r="10" customFormat="false" ht="15" hidden="false" customHeight="true" outlineLevel="0" collapsed="false">
      <c r="A10" s="21" t="s">
        <v>279</v>
      </c>
      <c r="B10" s="21" t="s">
        <v>133</v>
      </c>
      <c r="C10" s="21" t="s">
        <v>280</v>
      </c>
      <c r="D10" s="21" t="s">
        <v>159</v>
      </c>
      <c r="E10" s="21" t="s">
        <v>160</v>
      </c>
      <c r="F10" s="21" t="s">
        <v>166</v>
      </c>
      <c r="G10" s="21" t="s">
        <v>281</v>
      </c>
      <c r="H10" s="21" t="s">
        <v>191</v>
      </c>
      <c r="I10" s="26" t="str">
        <f aca="false">IF(F10="Fuera de servicio","ROJO",IF(F10="Degradada","AMARILLO","VERDE"))</f>
        <v>AMARILLO</v>
      </c>
    </row>
    <row r="11" customFormat="false" ht="15" hidden="false" customHeight="true" outlineLevel="0" collapsed="false">
      <c r="A11" s="21" t="s">
        <v>282</v>
      </c>
      <c r="B11" s="21" t="s">
        <v>133</v>
      </c>
      <c r="C11" s="21" t="s">
        <v>283</v>
      </c>
      <c r="D11" s="21" t="s">
        <v>186</v>
      </c>
      <c r="E11" s="21" t="s">
        <v>170</v>
      </c>
      <c r="F11" s="21" t="s">
        <v>161</v>
      </c>
      <c r="G11" s="21" t="s">
        <v>284</v>
      </c>
      <c r="H11" s="21" t="s">
        <v>217</v>
      </c>
      <c r="I11" s="26" t="str">
        <f aca="false">IF(F11="Fuera de servicio","ROJO",IF(F11="Degradada","AMARILLO","VERDE"))</f>
        <v>VERDE</v>
      </c>
    </row>
    <row r="12" customFormat="false" ht="15" hidden="false" customHeight="true" outlineLevel="0" collapsed="false">
      <c r="A12" s="21" t="s">
        <v>285</v>
      </c>
      <c r="B12" s="21" t="s">
        <v>133</v>
      </c>
      <c r="C12" s="21" t="s">
        <v>286</v>
      </c>
      <c r="D12" s="21" t="s">
        <v>105</v>
      </c>
      <c r="E12" s="21" t="s">
        <v>160</v>
      </c>
      <c r="F12" s="21" t="s">
        <v>161</v>
      </c>
      <c r="G12" s="21" t="s">
        <v>287</v>
      </c>
      <c r="H12" s="21" t="s">
        <v>210</v>
      </c>
      <c r="I12" s="26" t="str">
        <f aca="false">IF(F12="Fuera de servicio","ROJO",IF(F12="Degradada","AMARILLO","VERDE"))</f>
        <v>VERDE</v>
      </c>
    </row>
    <row r="13" customFormat="false" ht="15" hidden="false" customHeight="true" outlineLevel="0" collapsed="false">
      <c r="A13" s="21" t="s">
        <v>288</v>
      </c>
      <c r="B13" s="21" t="s">
        <v>136</v>
      </c>
      <c r="C13" s="21" t="s">
        <v>289</v>
      </c>
      <c r="D13" s="21" t="s">
        <v>159</v>
      </c>
      <c r="E13" s="21" t="s">
        <v>160</v>
      </c>
      <c r="F13" s="21" t="s">
        <v>161</v>
      </c>
      <c r="G13" s="21" t="s">
        <v>171</v>
      </c>
      <c r="H13" s="21" t="s">
        <v>210</v>
      </c>
      <c r="I13" s="26" t="str">
        <f aca="false">IF(F13="Fuera de servicio","ROJO",IF(F13="Degradada","AMARILLO","VERDE"))</f>
        <v>VERDE</v>
      </c>
    </row>
    <row r="14" customFormat="false" ht="15" hidden="false" customHeight="true" outlineLevel="0" collapsed="false">
      <c r="A14" s="21" t="s">
        <v>290</v>
      </c>
      <c r="B14" s="21" t="s">
        <v>136</v>
      </c>
      <c r="C14" s="21" t="s">
        <v>291</v>
      </c>
      <c r="D14" s="21" t="s">
        <v>105</v>
      </c>
      <c r="E14" s="21" t="s">
        <v>160</v>
      </c>
      <c r="F14" s="21" t="s">
        <v>166</v>
      </c>
      <c r="G14" s="21" t="s">
        <v>292</v>
      </c>
      <c r="H14" s="21" t="s">
        <v>210</v>
      </c>
      <c r="I14" s="26" t="str">
        <f aca="false">IF(F14="Fuera de servicio","ROJO",IF(F14="Degradada","AMARILLO","VERDE"))</f>
        <v>AMARILLO</v>
      </c>
    </row>
    <row r="15" customFormat="false" ht="15" hidden="false" customHeight="true" outlineLevel="0" collapsed="false">
      <c r="A15" s="21" t="s">
        <v>293</v>
      </c>
      <c r="B15" s="21" t="s">
        <v>139</v>
      </c>
      <c r="C15" s="21" t="s">
        <v>294</v>
      </c>
      <c r="D15" s="21" t="s">
        <v>159</v>
      </c>
      <c r="E15" s="21" t="s">
        <v>160</v>
      </c>
      <c r="F15" s="21" t="s">
        <v>161</v>
      </c>
      <c r="G15" s="21" t="s">
        <v>190</v>
      </c>
      <c r="H15" s="21" t="s">
        <v>191</v>
      </c>
      <c r="I15" s="26" t="str">
        <f aca="false">IF(F15="Fuera de servicio","ROJO",IF(F15="Degradada","AMARILLO","VERDE"))</f>
        <v>VERDE</v>
      </c>
    </row>
    <row r="16" customFormat="false" ht="15" hidden="false" customHeight="true" outlineLevel="0" collapsed="false">
      <c r="A16" s="21" t="s">
        <v>295</v>
      </c>
      <c r="B16" s="21" t="s">
        <v>139</v>
      </c>
      <c r="C16" s="21" t="s">
        <v>296</v>
      </c>
      <c r="D16" s="21" t="s">
        <v>105</v>
      </c>
      <c r="E16" s="21" t="s">
        <v>170</v>
      </c>
      <c r="F16" s="21" t="s">
        <v>161</v>
      </c>
      <c r="G16" s="21" t="s">
        <v>297</v>
      </c>
      <c r="H16" s="21" t="s">
        <v>172</v>
      </c>
      <c r="I16" s="26" t="str">
        <f aca="false">IF(F16="Fuera de servicio","ROJO",IF(F16="Degradada","AMARILLO","VERDE"))</f>
        <v>VERDE</v>
      </c>
    </row>
    <row r="17" customFormat="false" ht="15" hidden="false" customHeight="true" outlineLevel="0" collapsed="false">
      <c r="A17" s="21" t="s">
        <v>298</v>
      </c>
      <c r="B17" s="21" t="s">
        <v>139</v>
      </c>
      <c r="C17" s="21" t="s">
        <v>299</v>
      </c>
      <c r="D17" s="21" t="s">
        <v>186</v>
      </c>
      <c r="E17" s="21" t="s">
        <v>170</v>
      </c>
      <c r="F17" s="21" t="s">
        <v>166</v>
      </c>
      <c r="G17" s="21" t="s">
        <v>209</v>
      </c>
      <c r="H17" s="21" t="s">
        <v>300</v>
      </c>
      <c r="I17" s="26" t="str">
        <f aca="false">IF(F17="Fuera de servicio","ROJO",IF(F17="Degradada","AMARILLO","VERDE"))</f>
        <v>AMARILLO</v>
      </c>
    </row>
    <row r="19" customFormat="false" ht="27.75" hidden="false" customHeight="true" outlineLevel="0" collapsed="false">
      <c r="B19" s="18"/>
    </row>
  </sheetData>
  <dataValidations count="3">
    <dataValidation allowBlank="true" errorStyle="stop" operator="between" showDropDown="false" showErrorMessage="false" showInputMessage="false" sqref="D2:D500" type="list">
      <formula1>"Activa,Pasiva,Humana"</formula1>
      <formula2>0</formula2>
    </dataValidation>
    <dataValidation allowBlank="true" errorStyle="stop" operator="between" showDropDown="false" showErrorMessage="false" showInputMessage="false" sqref="E2:E500" type="list">
      <formula1>"Crítica,No crítica"</formula1>
      <formula2>0</formula2>
    </dataValidation>
    <dataValidation allowBlank="true" errorStyle="stop" operator="between" showDropDown="false" showErrorMessage="false" showInputMessage="false" sqref="F2:F500" type="list">
      <formula1>"Operativa,Degradada,Fuera de servicio"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3" activeCellId="0" sqref="B13"/>
    </sheetView>
  </sheetViews>
  <sheetFormatPr defaultColWidth="8.71484375" defaultRowHeight="15" zeroHeight="false" outlineLevelRow="0" outlineLevelCol="0"/>
  <cols>
    <col collapsed="false" customWidth="true" hidden="false" outlineLevel="0" max="2" min="1" style="15" width="12"/>
    <col collapsed="false" customWidth="true" hidden="false" outlineLevel="0" max="3" min="3" style="15" width="22"/>
    <col collapsed="false" customWidth="true" hidden="false" outlineLevel="0" max="4" min="4" style="15" width="30"/>
    <col collapsed="false" customWidth="true" hidden="false" outlineLevel="0" max="5" min="5" style="15" width="45"/>
  </cols>
  <sheetData>
    <row r="1" customFormat="false" ht="15" hidden="false" customHeight="true" outlineLevel="0" collapsed="false">
      <c r="A1" s="16" t="s">
        <v>301</v>
      </c>
      <c r="B1" s="16" t="s">
        <v>150</v>
      </c>
      <c r="C1" s="16" t="s">
        <v>302</v>
      </c>
      <c r="D1" s="16" t="s">
        <v>303</v>
      </c>
      <c r="E1" s="16" t="s">
        <v>65</v>
      </c>
    </row>
    <row r="2" s="20" customFormat="true" ht="15" hidden="false" customHeight="true" outlineLevel="0" collapsed="false">
      <c r="A2" s="17" t="s">
        <v>304</v>
      </c>
      <c r="B2" s="17" t="s">
        <v>164</v>
      </c>
      <c r="C2" s="17" t="s">
        <v>13</v>
      </c>
      <c r="D2" s="17" t="s">
        <v>305</v>
      </c>
      <c r="E2" s="17" t="s">
        <v>306</v>
      </c>
    </row>
    <row r="3" customFormat="false" ht="15" hidden="false" customHeight="true" outlineLevel="0" collapsed="false">
      <c r="A3" s="21" t="s">
        <v>307</v>
      </c>
      <c r="B3" s="21" t="s">
        <v>176</v>
      </c>
      <c r="C3" s="21" t="s">
        <v>13</v>
      </c>
      <c r="D3" s="21" t="s">
        <v>308</v>
      </c>
      <c r="E3" s="21" t="s">
        <v>309</v>
      </c>
    </row>
    <row r="4" customFormat="false" ht="15" hidden="false" customHeight="true" outlineLevel="0" collapsed="false">
      <c r="A4" s="22" t="s">
        <v>310</v>
      </c>
      <c r="B4" s="21" t="s">
        <v>192</v>
      </c>
      <c r="C4" s="21" t="s">
        <v>13</v>
      </c>
      <c r="D4" s="21" t="s">
        <v>311</v>
      </c>
      <c r="E4" s="21" t="s">
        <v>312</v>
      </c>
    </row>
    <row r="5" customFormat="false" ht="15" hidden="false" customHeight="true" outlineLevel="0" collapsed="false">
      <c r="A5" s="21" t="s">
        <v>313</v>
      </c>
      <c r="B5" s="21" t="s">
        <v>201</v>
      </c>
      <c r="C5" s="21" t="s">
        <v>13</v>
      </c>
      <c r="D5" s="21" t="s">
        <v>314</v>
      </c>
      <c r="E5" s="21" t="s">
        <v>315</v>
      </c>
    </row>
    <row r="6" customFormat="false" ht="15" hidden="false" customHeight="true" outlineLevel="0" collapsed="false">
      <c r="A6" s="21" t="s">
        <v>316</v>
      </c>
      <c r="B6" s="21" t="s">
        <v>211</v>
      </c>
      <c r="C6" s="21" t="s">
        <v>13</v>
      </c>
      <c r="D6" s="21" t="s">
        <v>317</v>
      </c>
      <c r="E6" s="21" t="s">
        <v>318</v>
      </c>
    </row>
    <row r="7" customFormat="false" ht="15" hidden="false" customHeight="true" outlineLevel="0" collapsed="false">
      <c r="A7" s="21" t="s">
        <v>319</v>
      </c>
      <c r="B7" s="21" t="s">
        <v>221</v>
      </c>
      <c r="C7" s="21" t="s">
        <v>13</v>
      </c>
      <c r="D7" s="21" t="s">
        <v>320</v>
      </c>
      <c r="E7" s="21" t="s">
        <v>321</v>
      </c>
    </row>
    <row r="8" customFormat="false" ht="15" hidden="false" customHeight="true" outlineLevel="0" collapsed="false">
      <c r="A8" s="21" t="s">
        <v>322</v>
      </c>
      <c r="B8" s="21" t="s">
        <v>230</v>
      </c>
      <c r="C8" s="21" t="s">
        <v>13</v>
      </c>
      <c r="D8" s="21" t="s">
        <v>323</v>
      </c>
      <c r="E8" s="21" t="s">
        <v>324</v>
      </c>
    </row>
    <row r="9" customFormat="false" ht="15" hidden="false" customHeight="true" outlineLevel="0" collapsed="false">
      <c r="A9" s="21" t="s">
        <v>325</v>
      </c>
      <c r="B9" s="21" t="s">
        <v>257</v>
      </c>
      <c r="C9" s="21" t="s">
        <v>16</v>
      </c>
      <c r="D9" s="21" t="s">
        <v>326</v>
      </c>
      <c r="E9" s="21" t="s">
        <v>327</v>
      </c>
    </row>
    <row r="10" customFormat="false" ht="15" hidden="false" customHeight="true" outlineLevel="0" collapsed="false">
      <c r="A10" s="21" t="s">
        <v>328</v>
      </c>
      <c r="B10" s="21" t="s">
        <v>271</v>
      </c>
      <c r="C10" s="21" t="s">
        <v>16</v>
      </c>
      <c r="D10" s="21" t="s">
        <v>329</v>
      </c>
      <c r="E10" s="21" t="s">
        <v>330</v>
      </c>
    </row>
    <row r="11" customFormat="false" ht="15" hidden="false" customHeight="true" outlineLevel="0" collapsed="false">
      <c r="A11" s="21" t="s">
        <v>331</v>
      </c>
      <c r="B11" s="21" t="s">
        <v>298</v>
      </c>
      <c r="C11" s="21" t="s">
        <v>16</v>
      </c>
      <c r="D11" s="21" t="s">
        <v>332</v>
      </c>
      <c r="E11" s="21" t="s">
        <v>333</v>
      </c>
    </row>
    <row r="12" customFormat="false" ht="15" hidden="false" customHeight="false" outlineLevel="0" collapsed="false">
      <c r="A12" s="23" t="s">
        <v>334</v>
      </c>
      <c r="B12" s="23" t="s">
        <v>164</v>
      </c>
      <c r="C12" s="23" t="s">
        <v>13</v>
      </c>
      <c r="D12" s="23" t="s">
        <v>335</v>
      </c>
      <c r="E12" s="23" t="s">
        <v>336</v>
      </c>
    </row>
    <row r="13" customFormat="false" ht="27.75" hidden="false" customHeight="true" outlineLevel="0" collapsed="false">
      <c r="A13" s="23" t="s">
        <v>337</v>
      </c>
      <c r="B13" s="24" t="s">
        <v>164</v>
      </c>
      <c r="C13" s="23" t="s">
        <v>13</v>
      </c>
      <c r="D13" s="23" t="s">
        <v>338</v>
      </c>
      <c r="E13" s="23" t="s">
        <v>339</v>
      </c>
    </row>
    <row r="14" customFormat="false" ht="15" hidden="false" customHeight="false" outlineLevel="0" collapsed="false">
      <c r="A14" s="23" t="s">
        <v>340</v>
      </c>
      <c r="B14" s="23" t="s">
        <v>257</v>
      </c>
      <c r="C14" s="23" t="s">
        <v>16</v>
      </c>
      <c r="D14" s="23" t="s">
        <v>341</v>
      </c>
      <c r="E14" s="23" t="s">
        <v>342</v>
      </c>
    </row>
    <row r="15" customFormat="false" ht="15" hidden="false" customHeight="false" outlineLevel="0" collapsed="false">
      <c r="A15" s="23" t="s">
        <v>343</v>
      </c>
      <c r="B15" s="23" t="s">
        <v>173</v>
      </c>
      <c r="C15" s="23" t="s">
        <v>13</v>
      </c>
      <c r="D15" s="23" t="s">
        <v>344</v>
      </c>
      <c r="E15" s="23" t="s">
        <v>345</v>
      </c>
    </row>
    <row r="16" customFormat="false" ht="15" hidden="false" customHeight="false" outlineLevel="0" collapsed="false">
      <c r="A16" s="23" t="s">
        <v>346</v>
      </c>
      <c r="B16" s="23" t="s">
        <v>176</v>
      </c>
      <c r="C16" s="23" t="s">
        <v>347</v>
      </c>
      <c r="D16" s="23" t="s">
        <v>348</v>
      </c>
      <c r="E16" s="23" t="s">
        <v>349</v>
      </c>
    </row>
  </sheetData>
  <dataValidations count="1">
    <dataValidation allowBlank="true" errorStyle="stop" operator="between" showDropDown="false" showErrorMessage="false" showInputMessage="false" sqref="C2:C500" type="list">
      <formula1>"Barreras_Preventivas,Barreras_Mitigadoras"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71484375" defaultRowHeight="15" zeroHeight="false" outlineLevelRow="0" outlineLevelCol="0"/>
  <cols>
    <col collapsed="false" customWidth="true" hidden="false" outlineLevel="0" max="2" min="1" style="15" width="12"/>
    <col collapsed="false" customWidth="true" hidden="false" outlineLevel="0" max="3" min="3" style="15" width="32"/>
    <col collapsed="false" customWidth="true" hidden="false" outlineLevel="0" max="4" min="4" style="15" width="15"/>
    <col collapsed="false" customWidth="true" hidden="false" outlineLevel="0" max="5" min="5" style="15" width="18"/>
  </cols>
  <sheetData>
    <row r="1" customFormat="false" ht="15" hidden="false" customHeight="true" outlineLevel="0" collapsed="false">
      <c r="A1" s="16" t="s">
        <v>350</v>
      </c>
      <c r="B1" s="16" t="s">
        <v>301</v>
      </c>
      <c r="C1" s="16" t="s">
        <v>351</v>
      </c>
      <c r="D1" s="16" t="s">
        <v>352</v>
      </c>
      <c r="E1" s="16" t="s">
        <v>154</v>
      </c>
    </row>
    <row r="2" s="20" customFormat="true" ht="15" hidden="false" customHeight="true" outlineLevel="0" collapsed="false">
      <c r="A2" s="17" t="s">
        <v>353</v>
      </c>
      <c r="B2" s="17" t="s">
        <v>304</v>
      </c>
      <c r="C2" s="17" t="s">
        <v>354</v>
      </c>
      <c r="D2" s="17" t="n">
        <v>70</v>
      </c>
      <c r="E2" s="17" t="s">
        <v>161</v>
      </c>
    </row>
    <row r="3" customFormat="false" ht="15" hidden="false" customHeight="true" outlineLevel="0" collapsed="false">
      <c r="A3" s="21" t="s">
        <v>355</v>
      </c>
      <c r="B3" s="21" t="s">
        <v>307</v>
      </c>
      <c r="C3" s="21" t="s">
        <v>356</v>
      </c>
      <c r="D3" s="21" t="n">
        <v>65</v>
      </c>
      <c r="E3" s="21" t="s">
        <v>166</v>
      </c>
    </row>
    <row r="4" customFormat="false" ht="15" hidden="false" customHeight="true" outlineLevel="0" collapsed="false">
      <c r="A4" s="22" t="s">
        <v>357</v>
      </c>
      <c r="B4" s="21" t="s">
        <v>310</v>
      </c>
      <c r="C4" s="21" t="s">
        <v>358</v>
      </c>
      <c r="D4" s="21" t="n">
        <v>40</v>
      </c>
      <c r="E4" s="21" t="s">
        <v>194</v>
      </c>
    </row>
    <row r="5" customFormat="false" ht="15" hidden="false" customHeight="true" outlineLevel="0" collapsed="false">
      <c r="A5" s="21" t="s">
        <v>359</v>
      </c>
      <c r="B5" s="21" t="s">
        <v>313</v>
      </c>
      <c r="C5" s="21" t="s">
        <v>360</v>
      </c>
      <c r="D5" s="21" t="n">
        <v>72</v>
      </c>
      <c r="E5" s="21" t="s">
        <v>161</v>
      </c>
    </row>
    <row r="6" customFormat="false" ht="15" hidden="false" customHeight="true" outlineLevel="0" collapsed="false">
      <c r="A6" s="21" t="s">
        <v>361</v>
      </c>
      <c r="B6" s="21" t="s">
        <v>316</v>
      </c>
      <c r="C6" s="21" t="s">
        <v>362</v>
      </c>
      <c r="D6" s="21" t="n">
        <v>55</v>
      </c>
      <c r="E6" s="21" t="s">
        <v>166</v>
      </c>
    </row>
    <row r="7" customFormat="false" ht="15" hidden="false" customHeight="true" outlineLevel="0" collapsed="false">
      <c r="A7" s="21" t="s">
        <v>363</v>
      </c>
      <c r="B7" s="21" t="s">
        <v>319</v>
      </c>
      <c r="C7" s="21" t="s">
        <v>364</v>
      </c>
      <c r="D7" s="21" t="n">
        <v>68</v>
      </c>
      <c r="E7" s="21" t="s">
        <v>161</v>
      </c>
    </row>
    <row r="8" customFormat="false" ht="15" hidden="false" customHeight="true" outlineLevel="0" collapsed="false">
      <c r="A8" s="21" t="s">
        <v>365</v>
      </c>
      <c r="B8" s="21" t="s">
        <v>322</v>
      </c>
      <c r="C8" s="21" t="s">
        <v>366</v>
      </c>
      <c r="D8" s="21" t="n">
        <v>50</v>
      </c>
      <c r="E8" s="21" t="s">
        <v>166</v>
      </c>
    </row>
    <row r="9" customFormat="false" ht="15" hidden="false" customHeight="true" outlineLevel="0" collapsed="false">
      <c r="A9" s="21" t="s">
        <v>367</v>
      </c>
      <c r="B9" s="21" t="s">
        <v>325</v>
      </c>
      <c r="C9" s="21" t="s">
        <v>368</v>
      </c>
      <c r="D9" s="21" t="n">
        <v>66</v>
      </c>
      <c r="E9" s="21" t="s">
        <v>161</v>
      </c>
    </row>
    <row r="10" customFormat="false" ht="15" hidden="false" customHeight="true" outlineLevel="0" collapsed="false">
      <c r="A10" s="21" t="s">
        <v>369</v>
      </c>
      <c r="B10" s="21" t="s">
        <v>328</v>
      </c>
      <c r="C10" s="21" t="s">
        <v>370</v>
      </c>
      <c r="D10" s="21" t="n">
        <v>35</v>
      </c>
      <c r="E10" s="21" t="s">
        <v>194</v>
      </c>
    </row>
    <row r="11" customFormat="false" ht="15" hidden="false" customHeight="true" outlineLevel="0" collapsed="false">
      <c r="A11" s="21" t="s">
        <v>371</v>
      </c>
      <c r="B11" s="21" t="s">
        <v>331</v>
      </c>
      <c r="C11" s="21" t="s">
        <v>372</v>
      </c>
      <c r="D11" s="21" t="n">
        <v>45</v>
      </c>
      <c r="E11" s="21" t="s">
        <v>166</v>
      </c>
    </row>
    <row r="12" customFormat="false" ht="15" hidden="false" customHeight="false" outlineLevel="0" collapsed="false">
      <c r="A12" s="23" t="s">
        <v>373</v>
      </c>
      <c r="B12" s="23" t="s">
        <v>307</v>
      </c>
      <c r="C12" s="23" t="s">
        <v>374</v>
      </c>
      <c r="D12" s="23" t="n">
        <v>58</v>
      </c>
      <c r="E12" s="23" t="s">
        <v>161</v>
      </c>
    </row>
    <row r="13" customFormat="false" ht="27.75" hidden="false" customHeight="true" outlineLevel="0" collapsed="false">
      <c r="B13" s="18"/>
    </row>
  </sheetData>
  <dataValidations count="2">
    <dataValidation allowBlank="true" errorStyle="stop" operator="between" showDropDown="false" showErrorMessage="false" showInputMessage="false" sqref="D2:D500" type="whole">
      <formula1>0</formula1>
      <formula2>100</formula2>
    </dataValidation>
    <dataValidation allowBlank="true" errorStyle="stop" operator="between" showDropDown="false" showErrorMessage="false" showInputMessage="false" sqref="E2:E500" type="list">
      <formula1>"Operativa,Degradada,Fuera de servicio"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71484375" defaultRowHeight="15" zeroHeight="false" outlineLevelRow="0" outlineLevelCol="0"/>
  <cols>
    <col collapsed="false" customWidth="true" hidden="false" outlineLevel="0" max="2" min="2" style="15" width="55"/>
    <col collapsed="false" customWidth="true" hidden="false" outlineLevel="0" max="4" min="3" style="15" width="4"/>
    <col collapsed="false" customWidth="true" hidden="false" outlineLevel="0" max="5" min="5" style="15" width="14"/>
  </cols>
  <sheetData>
    <row r="2" customFormat="false" ht="17.25" hidden="false" customHeight="true" outlineLevel="0" collapsed="false">
      <c r="B2" s="28" t="s">
        <v>375</v>
      </c>
    </row>
    <row r="4" customFormat="false" ht="15" hidden="false" customHeight="true" outlineLevel="0" collapsed="false">
      <c r="B4" s="29" t="s">
        <v>376</v>
      </c>
      <c r="E4" s="30" t="n">
        <f aca="false">COUNTA(Eventos_Tope!A2:A1000)</f>
        <v>1</v>
      </c>
    </row>
    <row r="5" customFormat="false" ht="15" hidden="false" customHeight="true" outlineLevel="0" collapsed="false">
      <c r="B5" s="29" t="s">
        <v>377</v>
      </c>
      <c r="E5" s="30" t="n">
        <f aca="false">COUNTA(Amenazas!A2:A1000)</f>
        <v>13</v>
      </c>
    </row>
    <row r="6" customFormat="false" ht="15" hidden="false" customHeight="true" outlineLevel="0" collapsed="false">
      <c r="B6" s="29" t="s">
        <v>378</v>
      </c>
      <c r="E6" s="30" t="n">
        <f aca="false">COUNTA(Consecuencias!A2:A1000)</f>
        <v>7</v>
      </c>
    </row>
    <row r="7" customFormat="false" ht="15" hidden="false" customHeight="true" outlineLevel="0" collapsed="false">
      <c r="B7" s="29" t="s">
        <v>379</v>
      </c>
      <c r="E7" s="30" t="n">
        <f aca="false">COUNTA(Barreras_Preventivas!A2:A1000)</f>
        <v>30</v>
      </c>
    </row>
    <row r="8" customFormat="false" ht="15" hidden="false" customHeight="true" outlineLevel="0" collapsed="false">
      <c r="B8" s="29" t="s">
        <v>380</v>
      </c>
      <c r="E8" s="30" t="n">
        <f aca="false">COUNTA(Barreras_Mitigadoras!A2:A1000)</f>
        <v>16</v>
      </c>
    </row>
    <row r="9" customFormat="false" ht="15" hidden="false" customHeight="true" outlineLevel="0" collapsed="false">
      <c r="B9" s="29"/>
    </row>
    <row r="10" customFormat="false" ht="15" hidden="false" customHeight="true" outlineLevel="0" collapsed="false">
      <c r="B10" s="29" t="s">
        <v>381</v>
      </c>
      <c r="E10" s="30" t="n">
        <f aca="false">SUMPRODUCT((Barreras_Preventivas!$E$2:$E$1000="Crítica")*((Barreras_Preventivas!$F$2:$F$1000="Degradada")+(Barreras_Preventivas!$F$2:$F$1000="Fuera de servicio")))</f>
        <v>7</v>
      </c>
    </row>
    <row r="11" customFormat="false" ht="15" hidden="false" customHeight="true" outlineLevel="0" collapsed="false">
      <c r="B11" s="29" t="s">
        <v>382</v>
      </c>
      <c r="E11" s="30" t="n">
        <f aca="false">SUMPRODUCT((Barreras_Mitigadoras!$E$2:$E$1000="Crítica")*((Barreras_Mitigadoras!$F$2:$F$1000="Degradada")+(Barreras_Mitigadoras!$F$2:$F$1000="Fuera de servicio")))</f>
        <v>6</v>
      </c>
    </row>
    <row r="12" customFormat="false" ht="15" hidden="false" customHeight="true" outlineLevel="0" collapsed="false">
      <c r="B12" s="29" t="s">
        <v>383</v>
      </c>
      <c r="E12" s="30" t="n">
        <f aca="false">COUNTIF(Barreras_Preventivas!$I$2:$I$1000,"ROJO")</f>
        <v>2</v>
      </c>
    </row>
    <row r="13" customFormat="false" ht="15" hidden="false" customHeight="true" outlineLevel="0" collapsed="false">
      <c r="B13" s="29" t="s">
        <v>384</v>
      </c>
      <c r="E13" s="30" t="n">
        <f aca="false">COUNTIF(Barreras_Mitigadoras!$I$2:$I$1000,"ROJO")</f>
        <v>1</v>
      </c>
    </row>
    <row r="14" customFormat="false" ht="15" hidden="false" customHeight="true" outlineLevel="0" collapsed="false">
      <c r="B14" s="29"/>
      <c r="E14" s="30"/>
    </row>
    <row r="15" customFormat="false" ht="15" hidden="false" customHeight="true" outlineLevel="0" collapsed="false">
      <c r="B15" s="29"/>
      <c r="E15" s="30"/>
    </row>
    <row r="18" customFormat="false" ht="30" hidden="false" customHeight="true" outlineLevel="0" collapsed="false">
      <c r="B18" s="31"/>
      <c r="C18" s="31"/>
      <c r="D18" s="31"/>
      <c r="E18" s="31"/>
      <c r="F18" s="31"/>
    </row>
  </sheetData>
  <mergeCells count="1"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6" min="1" style="15" width="22"/>
  </cols>
  <sheetData>
    <row r="1" customFormat="false" ht="15" hidden="false" customHeight="true" outlineLevel="0" collapsed="false">
      <c r="A1" s="32" t="s">
        <v>385</v>
      </c>
      <c r="B1" s="32" t="s">
        <v>125</v>
      </c>
      <c r="C1" s="32" t="s">
        <v>386</v>
      </c>
      <c r="D1" s="32" t="s">
        <v>387</v>
      </c>
      <c r="E1" s="32" t="s">
        <v>388</v>
      </c>
      <c r="F1" s="32" t="s">
        <v>389</v>
      </c>
    </row>
    <row r="2" customFormat="false" ht="15" hidden="false" customHeight="true" outlineLevel="0" collapsed="false">
      <c r="A2" s="33" t="s">
        <v>81</v>
      </c>
      <c r="B2" s="33" t="s">
        <v>128</v>
      </c>
      <c r="C2" s="33" t="s">
        <v>390</v>
      </c>
      <c r="D2" s="33" t="s">
        <v>159</v>
      </c>
      <c r="E2" s="33" t="s">
        <v>160</v>
      </c>
      <c r="F2" s="33" t="s">
        <v>161</v>
      </c>
    </row>
    <row r="3" customFormat="false" ht="15" hidden="false" customHeight="true" outlineLevel="0" collapsed="false">
      <c r="A3" s="33" t="s">
        <v>105</v>
      </c>
      <c r="B3" s="33" t="s">
        <v>145</v>
      </c>
      <c r="C3" s="33" t="s">
        <v>391</v>
      </c>
      <c r="D3" s="33" t="s">
        <v>186</v>
      </c>
      <c r="E3" s="33" t="s">
        <v>170</v>
      </c>
      <c r="F3" s="33" t="s">
        <v>166</v>
      </c>
    </row>
    <row r="4" customFormat="false" ht="15" hidden="false" customHeight="true" outlineLevel="0" collapsed="false">
      <c r="A4" s="33" t="s">
        <v>98</v>
      </c>
      <c r="B4" s="33" t="s">
        <v>141</v>
      </c>
      <c r="C4" s="33" t="s">
        <v>392</v>
      </c>
      <c r="D4" s="33" t="s">
        <v>105</v>
      </c>
      <c r="F4" s="33" t="s">
        <v>194</v>
      </c>
    </row>
    <row r="5" customFormat="false" ht="15" hidden="false" customHeight="true" outlineLevel="0" collapsed="false">
      <c r="A5" s="33" t="s">
        <v>88</v>
      </c>
      <c r="B5" s="33" t="s">
        <v>393</v>
      </c>
      <c r="C5" s="33" t="s">
        <v>394</v>
      </c>
    </row>
    <row r="6" customFormat="false" ht="15" hidden="false" customHeight="true" outlineLevel="0" collapsed="false">
      <c r="A6" s="33" t="s">
        <v>395</v>
      </c>
      <c r="B6" s="33" t="s">
        <v>396</v>
      </c>
      <c r="C6" s="33" t="s">
        <v>397</v>
      </c>
    </row>
    <row r="7" customFormat="false" ht="15" hidden="false" customHeight="true" outlineLevel="0" collapsed="false">
      <c r="A7" s="33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2026-07-31T16:01:37Z</dcterms:created>
  <dc:creator>openpyxl</dc:creator>
  <dc:description/>
  <dc:language>en-US</dc:language>
  <cp:lastModifiedBy>Andres Pacheco Lancheros</cp:lastModifiedBy>
  <dcterms:modified xsi:type="dcterms:W3CDTF">2026-09-24T14:58:52Z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