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ame" sheetId="1" state="visible" r:id="rId3"/>
    <sheet name="Eventos_Tope" sheetId="2" state="visible" r:id="rId4"/>
    <sheet name="Amenazas" sheetId="3" state="visible" r:id="rId5"/>
    <sheet name="Consecuencias" sheetId="4" state="visible" r:id="rId6"/>
    <sheet name="Barreras_Preventivas" sheetId="5" state="visible" r:id="rId7"/>
    <sheet name="Barreras_Mitigadoras" sheetId="6" state="visible" r:id="rId8"/>
    <sheet name="Factores_Escalamiento" sheetId="7" state="visible" r:id="rId9"/>
    <sheet name="Controles_Escalamiento" sheetId="8" state="visible" r:id="rId10"/>
    <sheet name="Resumen_Riesgo" sheetId="9" state="visible" r:id="rId11"/>
    <sheet name="List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Calculado automáticamente. No editar manualmente.
Rojo = barrera crítica degradada o fuera de servicio.
Naranja = barrera no crítica fuera de servicio.
Amarillo = degradada, o efectividad &lt; 70%.
Verde = operativa y efectiva.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Calculado automáticamente. No editar manualmente.
Rojo = barrera crítica degradada o fuera de servicio.
Naranja = barrera no crítica fuera de servicio.
Amarillo = degradada, o efectividad &lt; 70%.
Verde = operativa y efectiva.</t>
        </r>
      </text>
    </comment>
  </commentList>
</comments>
</file>

<file path=xl/sharedStrings.xml><?xml version="1.0" encoding="utf-8"?>
<sst xmlns="http://schemas.openxmlformats.org/spreadsheetml/2006/main" count="175" uniqueCount="133">
  <si>
    <t xml:space="preserve">Modelo de datos BowTie — Guía rápida</t>
  </si>
  <si>
    <t xml:space="preserve">Esta plantilla alimenta una herramienta de visualización de BowTie. Cada hoja es una tabla; las columnas 'ID_...' conectan las tablas entre sí (igual que una base de datos relacional).</t>
  </si>
  <si>
    <t xml:space="preserve">Hoja</t>
  </si>
  <si>
    <t xml:space="preserve">Qué contiene</t>
  </si>
  <si>
    <t xml:space="preserve">Se conecta con</t>
  </si>
  <si>
    <t xml:space="preserve">Eventos_Tope</t>
  </si>
  <si>
    <t xml:space="preserve">El evento central del BowTie (el 'nudo'). Incluye el campo Peligro: categoría general de riesgo mostrada arriba del evento (ej. 'Transporte de gas natural').</t>
  </si>
  <si>
    <t xml:space="preserve">—</t>
  </si>
  <si>
    <t xml:space="preserve">Amenazas</t>
  </si>
  <si>
    <t xml:space="preserve">Causas que pueden llevar al evento tope (lado izquierdo).</t>
  </si>
  <si>
    <t xml:space="preserve">ID_Evento → Eventos_Tope</t>
  </si>
  <si>
    <t xml:space="preserve">Consecuencias</t>
  </si>
  <si>
    <t xml:space="preserve">Impactos posibles si ocurre el evento tope (lado derecho).</t>
  </si>
  <si>
    <t xml:space="preserve">Barreras_Preventivas</t>
  </si>
  <si>
    <t xml:space="preserve">Barreras entre una Amenaza y el Evento Tope.</t>
  </si>
  <si>
    <t xml:space="preserve">ID_Amenaza → Amenazas</t>
  </si>
  <si>
    <t xml:space="preserve">Barreras_Mitigadoras</t>
  </si>
  <si>
    <t xml:space="preserve">Barreras entre el Evento Tope y una Consecuencia.</t>
  </si>
  <si>
    <t xml:space="preserve">ID_Consecuencia → Consecuencias</t>
  </si>
  <si>
    <t xml:space="preserve">Factores_Escalamiento</t>
  </si>
  <si>
    <t xml:space="preserve">Lo que puede hacer fallar a una barrera.</t>
  </si>
  <si>
    <t xml:space="preserve">ID_Barrera → cualquier barrera (Prev. o Mitig.)</t>
  </si>
  <si>
    <t xml:space="preserve">Controles_Escalamiento</t>
  </si>
  <si>
    <t xml:space="preserve">Barreras de esos factores de escalamiento.</t>
  </si>
  <si>
    <t xml:space="preserve">ID_Factor → Factores_Escalamiento</t>
  </si>
  <si>
    <t xml:space="preserve">Listas</t>
  </si>
  <si>
    <t xml:space="preserve">Catálogos para los menús desplegables.</t>
  </si>
  <si>
    <t xml:space="preserve">Usada por validaciones de datos en todas las hojas</t>
  </si>
  <si>
    <t xml:space="preserve">Resumen_Riesgo</t>
  </si>
  <si>
    <t xml:space="preserve">Indicadores y semáforos calculados automáticamente.</t>
  </si>
  <si>
    <t xml:space="preserve">Lee todas las hojas anteriores</t>
  </si>
  <si>
    <t xml:space="preserve">Cómo llenar:</t>
  </si>
  <si>
    <t xml:space="preserve">1) Crea primero tus Eventos_Tope.  2) Agrega Amenazas y Consecuencias apuntando al ID del evento.  3) Agrega Barreras apuntando al ID de la amenaza o consecuencia correspondiente.  4) Las celdas con fondo amarillo son las que debes llenar; el resto son fórmulas o encabezados — no editar.</t>
  </si>
  <si>
    <t xml:space="preserve">■ Fondo amarillo = celda para llenar    ■ Texto verde = fórmula de referencia cruzada (no editar)</t>
  </si>
  <si>
    <t xml:space="preserve">ID_Evento</t>
  </si>
  <si>
    <t xml:space="preserve">Nombre_Evento</t>
  </si>
  <si>
    <t xml:space="preserve">Peligro</t>
  </si>
  <si>
    <t xml:space="preserve">Descripcion</t>
  </si>
  <si>
    <t xml:space="preserve">Proceso_Area</t>
  </si>
  <si>
    <t xml:space="preserve">Responsable</t>
  </si>
  <si>
    <t xml:space="preserve">Fecha_Actualizacion</t>
  </si>
  <si>
    <t xml:space="preserve">ET-001</t>
  </si>
  <si>
    <t xml:space="preserve">Pérdida de contención de gas natural</t>
  </si>
  <si>
    <t xml:space="preserve">Transporte de gas natural</t>
  </si>
  <si>
    <t xml:space="preserve">Fuga no controlada de gas en línea de proceso principal</t>
  </si>
  <si>
    <t xml:space="preserve">Planta X - Área de compresión</t>
  </si>
  <si>
    <t xml:space="preserve">Jefe de Proceso</t>
  </si>
  <si>
    <t xml:space="preserve">2026-07-31</t>
  </si>
  <si>
    <t xml:space="preserve">Fila 2 = ejemplo (bórrala o edítala). ID_Evento debe ser único, ej. ET-001, ET-002... Peligro = categoría general del riesgo (ej. 'Transporte de gas natural', 'Recepción de GLP'); se muestra como ícono independiente arriba del Evento Tope en el diagrama.</t>
  </si>
  <si>
    <t xml:space="preserve">ID_Amenaza</t>
  </si>
  <si>
    <t xml:space="preserve">Nombre_Amenaza</t>
  </si>
  <si>
    <t xml:space="preserve">Categoria</t>
  </si>
  <si>
    <t xml:space="preserve">AM-001</t>
  </si>
  <si>
    <t xml:space="preserve">Corrosión interna de tubería</t>
  </si>
  <si>
    <t xml:space="preserve">Mecánica</t>
  </si>
  <si>
    <t xml:space="preserve">Pérdida de espesor por corrosión CO2/H2S</t>
  </si>
  <si>
    <t xml:space="preserve">ID_Evento debe existir en la hoja Eventos_Tope (copia el ID exacto).</t>
  </si>
  <si>
    <t xml:space="preserve">ID_Consecuencia</t>
  </si>
  <si>
    <t xml:space="preserve">Nombre_Consecuencia</t>
  </si>
  <si>
    <t xml:space="preserve">Severidad_1a5</t>
  </si>
  <si>
    <t xml:space="preserve">Categoria_Impacto</t>
  </si>
  <si>
    <t xml:space="preserve">CO-001</t>
  </si>
  <si>
    <t xml:space="preserve">Incendio en área de proceso</t>
  </si>
  <si>
    <t xml:space="preserve">Personas</t>
  </si>
  <si>
    <t xml:space="preserve">Incendio por ignición de nube de gas</t>
  </si>
  <si>
    <t xml:space="preserve">ID_Evento debe existir en la hoja Eventos_Tope. Severidad: 1 = leve, 5 = catastrófica.</t>
  </si>
  <si>
    <t xml:space="preserve">ID_Barrera</t>
  </si>
  <si>
    <t xml:space="preserve">Nombre_Barrera</t>
  </si>
  <si>
    <t xml:space="preserve">Tipo</t>
  </si>
  <si>
    <t xml:space="preserve">Criticidad</t>
  </si>
  <si>
    <t xml:space="preserve">Estado</t>
  </si>
  <si>
    <t xml:space="preserve">Efectividad_Pct</t>
  </si>
  <si>
    <t xml:space="preserve">Ultima_Verificacion</t>
  </si>
  <si>
    <t xml:space="preserve">Semaforo</t>
  </si>
  <si>
    <t xml:space="preserve">BP-001</t>
  </si>
  <si>
    <t xml:space="preserve">Inspección de espesores por ultrasonido</t>
  </si>
  <si>
    <t xml:space="preserve">Activa</t>
  </si>
  <si>
    <t xml:space="preserve">Crítica</t>
  </si>
  <si>
    <t xml:space="preserve">Operativa</t>
  </si>
  <si>
    <t xml:space="preserve">2026-06-15</t>
  </si>
  <si>
    <t xml:space="preserve">Ingeniero de Confiabilidad</t>
  </si>
  <si>
    <t xml:space="preserve">ID_Amenaza debe existir en la hoja Amenazas. La columna Semaforo se calcula sola (no editar).</t>
  </si>
  <si>
    <t xml:space="preserve">BM-001</t>
  </si>
  <si>
    <t xml:space="preserve">Sistema de detección de gas y fuego (F&amp;G)</t>
  </si>
  <si>
    <t xml:space="preserve">ID_Consecuencia debe existir en la hoja Consecuencias. La columna Semaforo se calcula sola (no editar).</t>
  </si>
  <si>
    <t xml:space="preserve">ID_Factor</t>
  </si>
  <si>
    <t xml:space="preserve">Hoja_Barrera</t>
  </si>
  <si>
    <t xml:space="preserve">Nombre_Factor</t>
  </si>
  <si>
    <t xml:space="preserve">FE-001</t>
  </si>
  <si>
    <t xml:space="preserve">Falta de mantenimiento del equipo de inspección</t>
  </si>
  <si>
    <t xml:space="preserve">El equipo de ultrasonido no recibe mantenimiento calibrado a tiempo</t>
  </si>
  <si>
    <t xml:space="preserve">ID_Barrera puede venir de Barreras_Preventivas o Barreras_Mitigadoras; indícalo en Hoja_Barrera.</t>
  </si>
  <si>
    <t xml:space="preserve">ID_Control</t>
  </si>
  <si>
    <t xml:space="preserve">Nombre_Control</t>
  </si>
  <si>
    <t xml:space="preserve">CE-001</t>
  </si>
  <si>
    <t xml:space="preserve">Plan de mantenimiento preventivo calibrado</t>
  </si>
  <si>
    <t xml:space="preserve">ID_Factor debe existir en la hoja Factores_Escalamiento.</t>
  </si>
  <si>
    <t xml:space="preserve">Resumen de Riesgo y Barreras</t>
  </si>
  <si>
    <t xml:space="preserve">Total Eventos Tope</t>
  </si>
  <si>
    <t xml:space="preserve">Total Amenazas</t>
  </si>
  <si>
    <t xml:space="preserve">Total Consecuencias</t>
  </si>
  <si>
    <t xml:space="preserve">Total Barreras Preventivas</t>
  </si>
  <si>
    <t xml:space="preserve">Total Barreras Mitigadoras</t>
  </si>
  <si>
    <t xml:space="preserve">Barreras Preventivas críticas degradadas o fuera de servicio</t>
  </si>
  <si>
    <t xml:space="preserve">Barreras Mitigadoras críticas degradadas o fuera de servicio</t>
  </si>
  <si>
    <t xml:space="preserve">Barreras Preventivas en ROJO (semáforo)</t>
  </si>
  <si>
    <t xml:space="preserve">Barreras Mitigadoras en ROJO (semáforo)</t>
  </si>
  <si>
    <t xml:space="preserve">Efectividad promedio - Barreras Preventivas (%)</t>
  </si>
  <si>
    <t xml:space="preserve">Efectividad promedio - Barreras Mitigadoras (%)</t>
  </si>
  <si>
    <t xml:space="preserve">Nota: estos indicadores son ejemplos base. En la etapa de la herramienta de visualización (Claude Code) se pueden agregar más cálculos (score de riesgo residual, filtros por proceso, etc.).</t>
  </si>
  <si>
    <t xml:space="preserve">Categoria_Amenaza</t>
  </si>
  <si>
    <t xml:space="preserve">Severidad</t>
  </si>
  <si>
    <t xml:space="preserve">Tipo_Barrera</t>
  </si>
  <si>
    <t xml:space="preserve">Criticidad_Barrera</t>
  </si>
  <si>
    <t xml:space="preserve">Estado_Barrera</t>
  </si>
  <si>
    <t xml:space="preserve">1</t>
  </si>
  <si>
    <t xml:space="preserve">Humana</t>
  </si>
  <si>
    <t xml:space="preserve">Ambiente</t>
  </si>
  <si>
    <t xml:space="preserve">2</t>
  </si>
  <si>
    <t xml:space="preserve">Pasiva</t>
  </si>
  <si>
    <t xml:space="preserve">No crítica</t>
  </si>
  <si>
    <t xml:space="preserve">Degradada</t>
  </si>
  <si>
    <t xml:space="preserve">Externa</t>
  </si>
  <si>
    <t xml:space="preserve">Activos</t>
  </si>
  <si>
    <t xml:space="preserve">3</t>
  </si>
  <si>
    <t xml:space="preserve">Fuera de servicio</t>
  </si>
  <si>
    <t xml:space="preserve">Proceso</t>
  </si>
  <si>
    <t xml:space="preserve">Reputación</t>
  </si>
  <si>
    <t xml:space="preserve">4</t>
  </si>
  <si>
    <t xml:space="preserve">Diseño</t>
  </si>
  <si>
    <t xml:space="preserve">Legal/Regulatorio</t>
  </si>
  <si>
    <t xml:space="preserve">5</t>
  </si>
  <si>
    <t xml:space="preserve">Organizacional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</si>
</sst>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55"/>
    <col collapsed="false" customWidth="true" hidden="false" outlineLevel="0" max="4" min="4" style="1" width="40"/>
  </cols>
  <sheetData>
    <row r="2" customFormat="false" ht="17.25" hidden="false" customHeight="true" outlineLevel="0" collapsed="false">
      <c r="B2" s="2" t="s">
        <v>0</v>
      </c>
    </row>
    <row r="4" customFormat="false" ht="39.75" hidden="false" customHeight="true" outlineLevel="0" collapsed="false">
      <c r="B4" s="3" t="s">
        <v>1</v>
      </c>
      <c r="C4" s="3"/>
      <c r="D4" s="3"/>
      <c r="E4" s="3"/>
      <c r="F4" s="3"/>
      <c r="G4" s="3"/>
      <c r="H4" s="3"/>
    </row>
    <row r="6" customFormat="false" ht="15" hidden="false" customHeight="true" outlineLevel="0" collapsed="false">
      <c r="B6" s="4" t="s">
        <v>2</v>
      </c>
      <c r="C6" s="4" t="s">
        <v>3</v>
      </c>
      <c r="D6" s="4" t="s">
        <v>4</v>
      </c>
    </row>
    <row r="7" customFormat="false" ht="15" hidden="false" customHeight="true" outlineLevel="0" collapsed="false">
      <c r="B7" s="5" t="s">
        <v>5</v>
      </c>
      <c r="C7" s="5" t="s">
        <v>6</v>
      </c>
      <c r="D7" s="5" t="s">
        <v>7</v>
      </c>
    </row>
    <row r="8" customFormat="false" ht="15" hidden="false" customHeight="true" outlineLevel="0" collapsed="false">
      <c r="B8" s="5" t="s">
        <v>8</v>
      </c>
      <c r="C8" s="5" t="s">
        <v>9</v>
      </c>
      <c r="D8" s="5" t="s">
        <v>10</v>
      </c>
    </row>
    <row r="9" customFormat="false" ht="15" hidden="false" customHeight="true" outlineLevel="0" collapsed="false">
      <c r="B9" s="5" t="s">
        <v>11</v>
      </c>
      <c r="C9" s="5" t="s">
        <v>12</v>
      </c>
      <c r="D9" s="5" t="s">
        <v>10</v>
      </c>
    </row>
    <row r="10" customFormat="false" ht="15" hidden="false" customHeight="true" outlineLevel="0" collapsed="false">
      <c r="B10" s="5" t="s">
        <v>13</v>
      </c>
      <c r="C10" s="5" t="s">
        <v>14</v>
      </c>
      <c r="D10" s="5" t="s">
        <v>15</v>
      </c>
    </row>
    <row r="11" customFormat="false" ht="15" hidden="false" customHeight="true" outlineLevel="0" collapsed="false">
      <c r="B11" s="5" t="s">
        <v>16</v>
      </c>
      <c r="C11" s="5" t="s">
        <v>17</v>
      </c>
      <c r="D11" s="5" t="s">
        <v>18</v>
      </c>
    </row>
    <row r="12" customFormat="false" ht="15" hidden="false" customHeight="true" outlineLevel="0" collapsed="false">
      <c r="B12" s="5" t="s">
        <v>19</v>
      </c>
      <c r="C12" s="5" t="s">
        <v>20</v>
      </c>
      <c r="D12" s="5" t="s">
        <v>21</v>
      </c>
    </row>
    <row r="13" customFormat="false" ht="15" hidden="false" customHeight="true" outlineLevel="0" collapsed="false">
      <c r="B13" s="5" t="s">
        <v>22</v>
      </c>
      <c r="C13" s="5" t="s">
        <v>23</v>
      </c>
      <c r="D13" s="5" t="s">
        <v>24</v>
      </c>
    </row>
    <row r="14" customFormat="false" ht="23.25" hidden="false" customHeight="true" outlineLevel="0" collapsed="false">
      <c r="B14" s="5" t="s">
        <v>25</v>
      </c>
      <c r="C14" s="5" t="s">
        <v>26</v>
      </c>
      <c r="D14" s="5" t="s">
        <v>27</v>
      </c>
    </row>
    <row r="15" customFormat="false" ht="15" hidden="false" customHeight="true" outlineLevel="0" collapsed="false">
      <c r="B15" s="5" t="s">
        <v>28</v>
      </c>
      <c r="C15" s="5" t="s">
        <v>29</v>
      </c>
      <c r="D15" s="5" t="s">
        <v>30</v>
      </c>
    </row>
    <row r="18" customFormat="false" ht="15" hidden="false" customHeight="true" outlineLevel="0" collapsed="false">
      <c r="B18" s="6" t="s">
        <v>31</v>
      </c>
    </row>
    <row r="19" customFormat="false" ht="45" hidden="false" customHeight="true" outlineLevel="0" collapsed="false">
      <c r="B19" s="7" t="s">
        <v>32</v>
      </c>
      <c r="C19" s="7"/>
      <c r="D19" s="7"/>
      <c r="E19" s="7"/>
      <c r="F19" s="7"/>
      <c r="G19" s="7"/>
      <c r="H19" s="7"/>
    </row>
    <row r="21" customFormat="false" ht="15" hidden="false" customHeight="true" outlineLevel="0" collapsed="false">
      <c r="B21" s="8" t="s">
        <v>33</v>
      </c>
    </row>
  </sheetData>
  <mergeCells count="2">
    <mergeCell ref="B4:H4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5" min="4" style="1" width="22"/>
    <col collapsed="false" customWidth="true" hidden="false" outlineLevel="0" max="6" min="6" style="1" width="20"/>
  </cols>
  <sheetData>
    <row r="1" customFormat="false" ht="15" hidden="false" customHeight="true" outlineLevel="0" collapsed="false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</row>
    <row r="2" customFormat="false" ht="15" hidden="false" customHeight="true" outlineLevel="0" collapsed="false">
      <c r="A2" s="10" t="s">
        <v>41</v>
      </c>
      <c r="B2" s="10" t="s">
        <v>42</v>
      </c>
      <c r="C2" s="11" t="s">
        <v>43</v>
      </c>
      <c r="D2" s="10" t="s">
        <v>44</v>
      </c>
      <c r="E2" s="10" t="s">
        <v>45</v>
      </c>
      <c r="F2" s="10" t="s">
        <v>46</v>
      </c>
      <c r="G2" s="10" t="s">
        <v>47</v>
      </c>
    </row>
    <row r="4" customFormat="false" ht="45" hidden="false" customHeight="true" outlineLevel="0" collapsed="false">
      <c r="A4" s="12" t="s">
        <v>48</v>
      </c>
      <c r="B4" s="12"/>
      <c r="C4" s="12"/>
      <c r="D4" s="12"/>
      <c r="E4" s="12"/>
      <c r="F4" s="12"/>
      <c r="G4" s="12"/>
    </row>
  </sheetData>
  <mergeCells count="1"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2"/>
    <col collapsed="false" customWidth="true" hidden="false" outlineLevel="0" max="4" min="4" style="1" width="18"/>
    <col collapsed="false" customWidth="true" hidden="false" outlineLevel="0" max="5" min="5" style="1" width="45"/>
  </cols>
  <sheetData>
    <row r="1" customFormat="false" ht="15" hidden="false" customHeight="true" outlineLevel="0" collapsed="false">
      <c r="A1" s="9" t="s">
        <v>49</v>
      </c>
      <c r="B1" s="9" t="s">
        <v>34</v>
      </c>
      <c r="C1" s="9" t="s">
        <v>50</v>
      </c>
      <c r="D1" s="9" t="s">
        <v>51</v>
      </c>
      <c r="E1" s="9" t="s">
        <v>37</v>
      </c>
    </row>
    <row r="2" customFormat="false" ht="15" hidden="false" customHeight="true" outlineLevel="0" collapsed="false">
      <c r="A2" s="10" t="s">
        <v>52</v>
      </c>
      <c r="B2" s="10" t="s">
        <v>41</v>
      </c>
      <c r="C2" s="10" t="s">
        <v>53</v>
      </c>
      <c r="D2" s="10" t="s">
        <v>54</v>
      </c>
      <c r="E2" s="10" t="s">
        <v>55</v>
      </c>
    </row>
    <row r="4" customFormat="false" ht="15" hidden="false" customHeight="true" outlineLevel="0" collapsed="false">
      <c r="A4" s="12" t="s">
        <v>56</v>
      </c>
      <c r="B4" s="12"/>
      <c r="C4" s="12"/>
      <c r="D4" s="12"/>
      <c r="E4" s="12"/>
    </row>
  </sheetData>
  <mergeCells count="1">
    <mergeCell ref="A4:E4"/>
  </mergeCells>
  <dataValidations count="1">
    <dataValidation allowBlank="true" errorStyle="stop" operator="between" showDropDown="false" showErrorMessage="false" showInputMessage="false" sqref="D2:D500" type="list">
      <formula1>"Mecánica,Humana,Externa,Proceso,Diseño,Organizacional"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45"/>
  </cols>
  <sheetData>
    <row r="1" customFormat="false" ht="23.25" hidden="false" customHeight="true" outlineLevel="0" collapsed="false">
      <c r="A1" s="9" t="s">
        <v>57</v>
      </c>
      <c r="B1" s="9" t="s">
        <v>34</v>
      </c>
      <c r="C1" s="9" t="s">
        <v>58</v>
      </c>
      <c r="D1" s="9" t="s">
        <v>59</v>
      </c>
      <c r="E1" s="9" t="s">
        <v>60</v>
      </c>
      <c r="F1" s="9" t="s">
        <v>37</v>
      </c>
    </row>
    <row r="2" customFormat="false" ht="15" hidden="false" customHeight="true" outlineLevel="0" collapsed="false">
      <c r="A2" s="10" t="s">
        <v>61</v>
      </c>
      <c r="B2" s="10" t="s">
        <v>41</v>
      </c>
      <c r="C2" s="10" t="s">
        <v>62</v>
      </c>
      <c r="D2" s="10" t="n">
        <v>4</v>
      </c>
      <c r="E2" s="10" t="s">
        <v>63</v>
      </c>
      <c r="F2" s="10" t="s">
        <v>64</v>
      </c>
    </row>
    <row r="4" customFormat="false" ht="15" hidden="false" customHeight="true" outlineLevel="0" collapsed="false">
      <c r="A4" s="12" t="s">
        <v>65</v>
      </c>
      <c r="B4" s="12"/>
      <c r="C4" s="12"/>
      <c r="D4" s="12"/>
      <c r="E4" s="12"/>
      <c r="F4" s="12"/>
    </row>
  </sheetData>
  <mergeCells count="1">
    <mergeCell ref="A4:F4"/>
  </mergeCells>
  <dataValidations count="2">
    <dataValidation allowBlank="true" errorStyle="stop" operator="between" showDropDown="false" showErrorMessage="false" showInputMessage="false" sqref="D2:D500" type="list">
      <formula1>"1,2,3,4,5"</formula1>
      <formula2>0</formula2>
    </dataValidation>
    <dataValidation allowBlank="true" errorStyle="stop" operator="between" showDropDown="false" showErrorMessage="false" showInputMessage="false" sqref="E2:E500" type="list">
      <formula1>"Personas,Ambiente,Activos,Reputación,Legal/Regulatorio"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2"/>
  </cols>
  <sheetData>
    <row r="1" customFormat="false" ht="15" hidden="false" customHeight="true" outlineLevel="0" collapsed="false">
      <c r="A1" s="9" t="s">
        <v>66</v>
      </c>
      <c r="B1" s="9" t="s">
        <v>49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39</v>
      </c>
      <c r="J1" s="9" t="s">
        <v>73</v>
      </c>
    </row>
    <row r="2" customFormat="false" ht="15" hidden="false" customHeight="true" outlineLevel="0" collapsed="false">
      <c r="A2" s="10" t="s">
        <v>74</v>
      </c>
      <c r="B2" s="10" t="s">
        <v>52</v>
      </c>
      <c r="C2" s="10" t="s">
        <v>75</v>
      </c>
      <c r="D2" s="10" t="s">
        <v>76</v>
      </c>
      <c r="E2" s="10" t="s">
        <v>77</v>
      </c>
      <c r="F2" s="10" t="s">
        <v>78</v>
      </c>
      <c r="G2" s="10" t="n">
        <v>85</v>
      </c>
      <c r="H2" s="10" t="s">
        <v>79</v>
      </c>
      <c r="I2" s="10" t="s">
        <v>80</v>
      </c>
      <c r="J2" s="13" t="str">
        <f aca="false">IF(AND(E2="Crítica",F2="Fuera de servicio"),"ROJO",IF(AND(E2="Crítica",F2="Degradada"),"ROJO",IF(F2="Fuera de servicio","NARANJA",IF(F2="Degradada","AMARILLO",IF(G2&lt;70,"AMARILLO","VERDE")))))</f>
        <v>VERDE</v>
      </c>
    </row>
    <row r="4" customFormat="false" ht="15" hidden="false" customHeight="true" outlineLevel="0" collapsed="false">
      <c r="A4" s="12" t="s">
        <v>81</v>
      </c>
      <c r="B4" s="12"/>
      <c r="C4" s="12"/>
      <c r="D4" s="12"/>
      <c r="E4" s="12"/>
      <c r="F4" s="12"/>
      <c r="G4" s="12"/>
      <c r="H4" s="12"/>
      <c r="I4" s="12"/>
      <c r="J4" s="12"/>
    </row>
  </sheetData>
  <mergeCells count="1">
    <mergeCell ref="A4:J4"/>
  </mergeCells>
  <dataValidations count="4">
    <dataValidation allowBlank="true" errorStyle="stop" operator="between" showDropDown="false" showErrorMessage="false" showInputMessage="false" sqref="D2:D500" type="list">
      <formula1>"Activa,Pasiva,Humana"</formula1>
      <formula2>0</formula2>
    </dataValidation>
    <dataValidation allowBlank="true" errorStyle="stop" operator="between" showDropDown="false" showErrorMessage="false" showInputMessage="false" sqref="E2:E500" type="list">
      <formula1>"Crítica,No crítica"</formula1>
      <formula2>0</formula2>
    </dataValidation>
    <dataValidation allowBlank="true" errorStyle="stop" operator="between" showDropDown="false" showErrorMessage="false" showInputMessage="false" sqref="F2:F500" type="list">
      <formula1>"Operativa,Degradada,Fuera de servicio"</formula1>
      <formula2>0</formula2>
    </dataValidation>
    <dataValidation allowBlank="true" error="Ingresa un número entre 0 y 100" errorStyle="stop" errorTitle="Valor inválido" operator="between" showDropDown="false" showErrorMessage="true" showInputMessage="false" sqref="G2:G500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2"/>
  </cols>
  <sheetData>
    <row r="1" customFormat="false" ht="23.25" hidden="false" customHeight="true" outlineLevel="0" collapsed="false">
      <c r="A1" s="9" t="s">
        <v>66</v>
      </c>
      <c r="B1" s="9" t="s">
        <v>57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39</v>
      </c>
      <c r="J1" s="9" t="s">
        <v>73</v>
      </c>
    </row>
    <row r="2" customFormat="false" ht="15" hidden="false" customHeight="true" outlineLevel="0" collapsed="false">
      <c r="A2" s="10" t="s">
        <v>82</v>
      </c>
      <c r="B2" s="10" t="s">
        <v>61</v>
      </c>
      <c r="C2" s="10" t="s">
        <v>83</v>
      </c>
      <c r="D2" s="10" t="s">
        <v>76</v>
      </c>
      <c r="E2" s="10" t="s">
        <v>77</v>
      </c>
      <c r="F2" s="10" t="s">
        <v>78</v>
      </c>
      <c r="G2" s="10" t="n">
        <v>90</v>
      </c>
      <c r="H2" s="10" t="s">
        <v>79</v>
      </c>
      <c r="I2" s="10" t="s">
        <v>80</v>
      </c>
      <c r="J2" s="13" t="str">
        <f aca="false">IF(AND(E2="Crítica",F2="Fuera de servicio"),"ROJO",IF(AND(E2="Crítica",F2="Degradada"),"ROJO",IF(F2="Fuera de servicio","NARANJA",IF(F2="Degradada","AMARILLO",IF(G2&lt;70,"AMARILLO","VERDE")))))</f>
        <v>VERDE</v>
      </c>
    </row>
    <row r="4" customFormat="false" ht="15" hidden="false" customHeight="true" outlineLevel="0" collapsed="false">
      <c r="A4" s="12" t="s">
        <v>84</v>
      </c>
      <c r="B4" s="12"/>
      <c r="C4" s="12"/>
      <c r="D4" s="12"/>
      <c r="E4" s="12"/>
      <c r="F4" s="12"/>
      <c r="G4" s="12"/>
      <c r="H4" s="12"/>
      <c r="I4" s="12"/>
      <c r="J4" s="12"/>
    </row>
  </sheetData>
  <mergeCells count="1">
    <mergeCell ref="A4:J4"/>
  </mergeCells>
  <dataValidations count="4">
    <dataValidation allowBlank="true" error="Ingresa un número entre 0 y 100" errorStyle="stop" errorTitle="Valor inválido" operator="between" showDropDown="false" showErrorMessage="true" showInputMessage="false" sqref="G2:G500" type="whole">
      <formula1>0</formula1>
      <formula2>100</formula2>
    </dataValidation>
    <dataValidation allowBlank="true" errorStyle="stop" operator="between" showDropDown="false" showErrorMessage="false" showInputMessage="false" sqref="D2:D500" type="list">
      <formula1>"Activa,Pasiva,Humana"</formula1>
      <formula2>0</formula2>
    </dataValidation>
    <dataValidation allowBlank="true" errorStyle="stop" operator="between" showDropDown="false" showErrorMessage="false" showInputMessage="false" sqref="E2:E500" type="list">
      <formula1>"Crítica,No crítica"</formula1>
      <formula2>0</formula2>
    </dataValidation>
    <dataValidation allowBlank="true" errorStyle="stop" operator="between" showDropDown="false" showErrorMessage="false" showInputMessage="false" sqref="F2:F500" type="list">
      <formula1>"Operativa,Degradada,Fuera de servicio"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45"/>
  </cols>
  <sheetData>
    <row r="1" customFormat="false" ht="15" hidden="false" customHeight="true" outlineLevel="0" collapsed="false">
      <c r="A1" s="9" t="s">
        <v>85</v>
      </c>
      <c r="B1" s="9" t="s">
        <v>66</v>
      </c>
      <c r="C1" s="9" t="s">
        <v>86</v>
      </c>
      <c r="D1" s="9" t="s">
        <v>87</v>
      </c>
      <c r="E1" s="9" t="s">
        <v>37</v>
      </c>
    </row>
    <row r="2" customFormat="false" ht="15" hidden="false" customHeight="true" outlineLevel="0" collapsed="false">
      <c r="A2" s="10" t="s">
        <v>88</v>
      </c>
      <c r="B2" s="10" t="s">
        <v>74</v>
      </c>
      <c r="C2" s="10" t="s">
        <v>13</v>
      </c>
      <c r="D2" s="10" t="s">
        <v>89</v>
      </c>
      <c r="E2" s="10" t="s">
        <v>90</v>
      </c>
    </row>
    <row r="4" customFormat="false" ht="15" hidden="false" customHeight="true" outlineLevel="0" collapsed="false">
      <c r="A4" s="12" t="s">
        <v>91</v>
      </c>
      <c r="B4" s="12"/>
      <c r="C4" s="12"/>
      <c r="D4" s="12"/>
      <c r="E4" s="12"/>
    </row>
  </sheetData>
  <mergeCells count="1">
    <mergeCell ref="A4:E4"/>
  </mergeCells>
  <dataValidations count="1">
    <dataValidation allowBlank="true" errorStyle="stop" operator="between" showDropDown="false" showErrorMessage="false" showInputMessage="false" sqref="C2:C500" type="list">
      <formula1>"Barreras_Preventivas,Barreras_Mitigadoras"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2"/>
    <col collapsed="false" customWidth="true" hidden="false" outlineLevel="0" max="4" min="4" style="1" width="15"/>
    <col collapsed="false" customWidth="true" hidden="false" outlineLevel="0" max="5" min="5" style="1" width="18"/>
  </cols>
  <sheetData>
    <row r="1" customFormat="false" ht="15" hidden="false" customHeight="true" outlineLevel="0" collapsed="false">
      <c r="A1" s="9" t="s">
        <v>92</v>
      </c>
      <c r="B1" s="9" t="s">
        <v>85</v>
      </c>
      <c r="C1" s="9" t="s">
        <v>93</v>
      </c>
      <c r="D1" s="9" t="s">
        <v>71</v>
      </c>
      <c r="E1" s="9" t="s">
        <v>70</v>
      </c>
    </row>
    <row r="2" customFormat="false" ht="15" hidden="false" customHeight="true" outlineLevel="0" collapsed="false">
      <c r="A2" s="10" t="s">
        <v>94</v>
      </c>
      <c r="B2" s="10" t="s">
        <v>88</v>
      </c>
      <c r="C2" s="10" t="s">
        <v>95</v>
      </c>
      <c r="D2" s="10" t="n">
        <v>70</v>
      </c>
      <c r="E2" s="10" t="s">
        <v>78</v>
      </c>
    </row>
    <row r="4" customFormat="false" ht="15" hidden="false" customHeight="true" outlineLevel="0" collapsed="false">
      <c r="A4" s="12" t="s">
        <v>96</v>
      </c>
      <c r="B4" s="12"/>
      <c r="C4" s="12"/>
      <c r="D4" s="12"/>
      <c r="E4" s="12"/>
    </row>
  </sheetData>
  <mergeCells count="1">
    <mergeCell ref="A4:E4"/>
  </mergeCells>
  <dataValidations count="2">
    <dataValidation allowBlank="true" errorStyle="stop" operator="between" showDropDown="false" showErrorMessage="false" showInputMessage="false" sqref="D2:D500" type="whole">
      <formula1>0</formula1>
      <formula2>100</formula2>
    </dataValidation>
    <dataValidation allowBlank="true" errorStyle="stop" operator="between" showDropDown="false" showErrorMessage="false" showInputMessage="false" sqref="E2:E500" type="list">
      <formula1>"Operativa,Degradada,Fuera de servicio"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5"/>
    <col collapsed="false" customWidth="true" hidden="false" outlineLevel="0" max="4" min="3" style="1" width="4"/>
    <col collapsed="false" customWidth="true" hidden="false" outlineLevel="0" max="5" min="5" style="1" width="14"/>
  </cols>
  <sheetData>
    <row r="2" customFormat="false" ht="17.25" hidden="false" customHeight="true" outlineLevel="0" collapsed="false">
      <c r="B2" s="2" t="s">
        <v>97</v>
      </c>
    </row>
    <row r="4" customFormat="false" ht="15" hidden="false" customHeight="true" outlineLevel="0" collapsed="false">
      <c r="B4" s="14" t="s">
        <v>98</v>
      </c>
      <c r="E4" s="15" t="n">
        <f aca="false">COUNTA(Eventos_Tope!A2:A1000)</f>
        <v>2</v>
      </c>
    </row>
    <row r="5" customFormat="false" ht="15" hidden="false" customHeight="true" outlineLevel="0" collapsed="false">
      <c r="B5" s="14" t="s">
        <v>99</v>
      </c>
      <c r="E5" s="15" t="n">
        <f aca="false">COUNTA(Amenazas!A2:A1000)</f>
        <v>2</v>
      </c>
    </row>
    <row r="6" customFormat="false" ht="15" hidden="false" customHeight="true" outlineLevel="0" collapsed="false">
      <c r="B6" s="14" t="s">
        <v>100</v>
      </c>
      <c r="E6" s="15" t="n">
        <f aca="false">COUNTA(Consecuencias!A2:A1000)</f>
        <v>2</v>
      </c>
    </row>
    <row r="7" customFormat="false" ht="15" hidden="false" customHeight="true" outlineLevel="0" collapsed="false">
      <c r="B7" s="14" t="s">
        <v>101</v>
      </c>
      <c r="E7" s="15" t="n">
        <f aca="false">COUNTA(Barreras_Preventivas!A2:A1000)</f>
        <v>2</v>
      </c>
    </row>
    <row r="8" customFormat="false" ht="15" hidden="false" customHeight="true" outlineLevel="0" collapsed="false">
      <c r="B8" s="14" t="s">
        <v>102</v>
      </c>
      <c r="E8" s="15" t="n">
        <f aca="false">COUNTA(Barreras_Mitigadoras!A2:A1000)</f>
        <v>2</v>
      </c>
    </row>
    <row r="9" customFormat="false" ht="15" hidden="false" customHeight="true" outlineLevel="0" collapsed="false">
      <c r="B9" s="14"/>
    </row>
    <row r="10" customFormat="false" ht="15" hidden="false" customHeight="true" outlineLevel="0" collapsed="false">
      <c r="B10" s="14" t="s">
        <v>103</v>
      </c>
      <c r="E10" s="15" t="n">
        <f aca="false">SUMPRODUCT((Barreras_Preventivas!$E$2:$E$1000="Crítica")*((Barreras_Preventivas!$F$2:$F$1000="Degradada")+(Barreras_Preventivas!$F$2:$F$1000="Fuera de servicio")))</f>
        <v>0</v>
      </c>
    </row>
    <row r="11" customFormat="false" ht="15" hidden="false" customHeight="true" outlineLevel="0" collapsed="false">
      <c r="B11" s="14" t="s">
        <v>104</v>
      </c>
      <c r="E11" s="15" t="n">
        <f aca="false">SUMPRODUCT((Barreras_Mitigadoras!$E$2:$E$1000="Crítica")*((Barreras_Mitigadoras!$F$2:$F$1000="Degradada")+(Barreras_Mitigadoras!$F$2:$F$1000="Fuera de servicio")))</f>
        <v>0</v>
      </c>
    </row>
    <row r="12" customFormat="false" ht="15" hidden="false" customHeight="true" outlineLevel="0" collapsed="false">
      <c r="B12" s="14" t="s">
        <v>105</v>
      </c>
      <c r="E12" s="15" t="n">
        <f aca="false">COUNTIF(Barreras_Preventivas!$J$2:$J$1000,"ROJO")</f>
        <v>0</v>
      </c>
    </row>
    <row r="13" customFormat="false" ht="15" hidden="false" customHeight="true" outlineLevel="0" collapsed="false">
      <c r="B13" s="14" t="s">
        <v>106</v>
      </c>
      <c r="E13" s="15" t="n">
        <f aca="false">COUNTIF(Barreras_Mitigadoras!$J$2:$J$1000,"ROJO")</f>
        <v>0</v>
      </c>
    </row>
    <row r="14" customFormat="false" ht="15" hidden="false" customHeight="true" outlineLevel="0" collapsed="false">
      <c r="B14" s="14" t="s">
        <v>107</v>
      </c>
      <c r="E14" s="15" t="n">
        <f aca="false">IFERROR(AVERAGE(Barreras_Preventivas!$G$2:$G$1000),0)</f>
        <v>85</v>
      </c>
    </row>
    <row r="15" customFormat="false" ht="15" hidden="false" customHeight="true" outlineLevel="0" collapsed="false">
      <c r="B15" s="14" t="s">
        <v>108</v>
      </c>
      <c r="E15" s="15" t="n">
        <f aca="false">IFERROR(AVERAGE(Barreras_Mitigadoras!$G$2:$G$1000),0)</f>
        <v>90</v>
      </c>
    </row>
    <row r="18" customFormat="false" ht="30" hidden="false" customHeight="true" outlineLevel="0" collapsed="false">
      <c r="B18" s="16" t="s">
        <v>109</v>
      </c>
      <c r="C18" s="16"/>
      <c r="D18" s="16"/>
      <c r="E18" s="16"/>
      <c r="F18" s="16"/>
    </row>
  </sheetData>
  <mergeCells count="1"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2"/>
  </cols>
  <sheetData>
    <row r="1" customFormat="false" ht="15" hidden="false" customHeight="true" outlineLevel="0" collapsed="false">
      <c r="A1" s="17" t="s">
        <v>110</v>
      </c>
      <c r="B1" s="17" t="s">
        <v>60</v>
      </c>
      <c r="C1" s="17" t="s">
        <v>111</v>
      </c>
      <c r="D1" s="17" t="s">
        <v>112</v>
      </c>
      <c r="E1" s="17" t="s">
        <v>113</v>
      </c>
      <c r="F1" s="17" t="s">
        <v>114</v>
      </c>
    </row>
    <row r="2" customFormat="false" ht="15" hidden="false" customHeight="true" outlineLevel="0" collapsed="false">
      <c r="A2" s="18" t="s">
        <v>54</v>
      </c>
      <c r="B2" s="18" t="s">
        <v>63</v>
      </c>
      <c r="C2" s="18" t="s">
        <v>115</v>
      </c>
      <c r="D2" s="18" t="s">
        <v>76</v>
      </c>
      <c r="E2" s="18" t="s">
        <v>77</v>
      </c>
      <c r="F2" s="18" t="s">
        <v>78</v>
      </c>
    </row>
    <row r="3" customFormat="false" ht="15" hidden="false" customHeight="true" outlineLevel="0" collapsed="false">
      <c r="A3" s="18" t="s">
        <v>116</v>
      </c>
      <c r="B3" s="18" t="s">
        <v>117</v>
      </c>
      <c r="C3" s="18" t="s">
        <v>118</v>
      </c>
      <c r="D3" s="18" t="s">
        <v>119</v>
      </c>
      <c r="E3" s="18" t="s">
        <v>120</v>
      </c>
      <c r="F3" s="18" t="s">
        <v>121</v>
      </c>
    </row>
    <row r="4" customFormat="false" ht="15" hidden="false" customHeight="true" outlineLevel="0" collapsed="false">
      <c r="A4" s="18" t="s">
        <v>122</v>
      </c>
      <c r="B4" s="18" t="s">
        <v>123</v>
      </c>
      <c r="C4" s="18" t="s">
        <v>124</v>
      </c>
      <c r="D4" s="18" t="s">
        <v>116</v>
      </c>
      <c r="F4" s="18" t="s">
        <v>125</v>
      </c>
    </row>
    <row r="5" customFormat="false" ht="15" hidden="false" customHeight="true" outlineLevel="0" collapsed="false">
      <c r="A5" s="18" t="s">
        <v>126</v>
      </c>
      <c r="B5" s="18" t="s">
        <v>127</v>
      </c>
      <c r="C5" s="18" t="s">
        <v>128</v>
      </c>
    </row>
    <row r="6" customFormat="false" ht="15" hidden="false" customHeight="true" outlineLevel="0" collapsed="false">
      <c r="A6" s="18" t="s">
        <v>129</v>
      </c>
      <c r="B6" s="18" t="s">
        <v>130</v>
      </c>
      <c r="C6" s="18" t="s">
        <v>131</v>
      </c>
    </row>
    <row r="7" customFormat="false" ht="15" hidden="false" customHeight="true" outlineLevel="0" collapsed="false">
      <c r="A7" s="18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2026-07-31T16:01:37Z</dcterms:created>
  <dc:creator>openpyxl</dc:creator>
  <dc:description/>
  <dc:language>en-US</dc:language>
  <cp:lastModifiedBy/>
  <dcterms:modified xsi:type="dcterms:W3CDTF">2026-08-05T20:41:08Z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